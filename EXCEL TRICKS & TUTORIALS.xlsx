
<file path=[Content_Types].xml><?xml version="1.0" encoding="utf-8"?>
<Types xmlns="http://schemas.openxmlformats.org/package/2006/content-types">
  <Default Extension="bin" ContentType="application/vnd.ms-office.activeX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activeX/activeX1.xml" ContentType="application/vnd.ms-office.activeX+xml"/>
  <Override PartName="/xl/tables/table3.xml" ContentType="application/vnd.openxmlformats-officedocument.spreadsheetml.table+xml"/>
  <Override PartName="/xl/printerSettings/printerSettings1.bin" ContentType="application/vnd.openxmlformats-officedocument.spreadsheetml.printerSettings"/>
  <Override PartName="/xl/drawings/drawing3.xml" ContentType="application/vnd.openxmlformats-officedocument.drawing+xml"/>
  <Override PartName="/xl/activeX/activeX2.xml" ContentType="application/vnd.ms-office.activeX+xml"/>
  <Override PartName="/xl/tables/table4.xml" ContentType="application/vnd.openxmlformats-officedocument.spreadsheetml.table+xml"/>
  <Override PartName="/xl/printerSettings/printerSettings2.bin" ContentType="application/vnd.openxmlformats-officedocument.spreadsheetml.printerSettings"/>
  <Override PartName="/xl/tables/table5.xml" ContentType="application/vnd.openxmlformats-officedocument.spreadsheetml.table+xml"/>
  <Override PartName="/xl/printerSettings/printerSettings3.bin" ContentType="application/vnd.openxmlformats-officedocument.spreadsheetml.printerSettings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rinterSettings/printerSettings4.bin" ContentType="application/vnd.openxmlformats-officedocument.spreadsheetml.printerSettings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ca517248b24f05/Desktop/Excel Files/"/>
    </mc:Choice>
  </mc:AlternateContent>
  <xr:revisionPtr revIDLastSave="800" documentId="13_ncr:1_{BC82A85B-9B9F-4FAF-A323-7D0669BFD735}" xr6:coauthVersionLast="47" xr6:coauthVersionMax="47" xr10:uidLastSave="{6D67EABF-477C-4C4F-8E8D-2D2EFCC0D15C}"/>
  <bookViews>
    <workbookView xWindow="-120" yWindow="-120" windowWidth="38640" windowHeight="21120" xr2:uid="{0B2BAE5A-B9A0-4491-AE48-D987D2420DC7}"/>
  </bookViews>
  <sheets>
    <sheet name="INDIRECT" sheetId="17" r:id="rId1"/>
    <sheet name="Customer Data" sheetId="2" r:id="rId2"/>
    <sheet name="Xlookup &amp; Sumifs" sheetId="7" r:id="rId3"/>
    <sheet name="Shipped Tracker" sheetId="6" r:id="rId4"/>
    <sheet name="FILTER" sheetId="1" r:id="rId5"/>
    <sheet name="AUTOFILTER" sheetId="4" r:id="rId6"/>
    <sheet name="CHECKBOX" sheetId="5" r:id="rId7"/>
    <sheet name="ADVANCED VLOOKUP" sheetId="8" r:id="rId8"/>
    <sheet name="Sales" sheetId="9" state="hidden" r:id="rId9"/>
    <sheet name="Profit" sheetId="10" state="hidden" r:id="rId10"/>
    <sheet name="POWER PIVOT" sheetId="12" r:id="rId11"/>
    <sheet name="Cost" sheetId="11" state="hidden" r:id="rId12"/>
    <sheet name="INDEX MATCH" sheetId="13" r:id="rId13"/>
    <sheet name="PIVOTBY" sheetId="14" r:id="rId14"/>
    <sheet name="FILTERFUNCTION" sheetId="15" r:id="rId15"/>
  </sheets>
  <definedNames>
    <definedName name="_xlnm._FilterDatabase" localSheetId="7" hidden="1">'ADVANCED VLOOKUP'!$B$4:$G$4</definedName>
    <definedName name="_xlnm._FilterDatabase" localSheetId="1" hidden="1">'Customer Data'!$B$4:$H$4</definedName>
    <definedName name="_xlcn.WorksheetConnection_EXCELTRICKSTUTORIALS.xlsxcost_tbl1" hidden="1">cost_tbl[]</definedName>
    <definedName name="_xlcn.WorksheetConnection_EXCELTRICKSTUTORIALS.xlsxprofit_tbl1" hidden="1">profit_tbl[]</definedName>
    <definedName name="_xlcn.WorksheetConnection_EXCELTRICKSTUTORIALS.xlsxsales_tbl1" hidden="1">sales_tbl[]</definedName>
    <definedName name="array">Table1[[Item description]:[Customer Contact No.]]</definedName>
    <definedName name="Bocaue">INDIRECT!$J$18:$J$20</definedName>
    <definedName name="Bulacan">INDIRECT!$H$5:$H$7</definedName>
    <definedName name="Cubao">INDIRECT!$E$18:$E$19</definedName>
    <definedName name="Fairview">INDIRECT!$F$18:$F$19</definedName>
    <definedName name="inv">Table1[Invoice No.]</definedName>
    <definedName name="Lazaro">INDIRECT!$K$18:$K$20</definedName>
    <definedName name="Marilao">INDIRECT!$I$18:$I$20</definedName>
    <definedName name="Maynila">INDIRECT!$I$5:$I$7</definedName>
    <definedName name="Megamall">INDIRECT!$L$18:$L$20</definedName>
    <definedName name="Payments">#REF!</definedName>
    <definedName name="_xlnm.Print_Area" localSheetId="4">FILTER!$B$2:$F$38</definedName>
    <definedName name="QuezonCity">INDIRECT!$G$5:$G$7</definedName>
    <definedName name="Status">#REF!</definedName>
    <definedName name="Trinoma">INDIRECT!$G$18:$G$19</definedName>
    <definedName name="Tungko">INDIRECT!$H$18:$H$19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tbl" name="sales_tbl" connection="WorksheetConnection_EXCEL TRICKS &amp; TUTORIALS.xlsx!sales_tbl"/>
          <x15:modelTable id="profit_tbl" name="profit_tbl" connection="WorksheetConnection_EXCEL TRICKS &amp; TUTORIALS.xlsx!profit_tbl"/>
          <x15:modelTable id="cost_tbl" name="cost_tbl" connection="WorksheetConnection_EXCEL TRICKS &amp; TUTORIALS.xlsx!cost_tbl"/>
        </x15:modelTables>
        <x15:modelRelationships>
          <x15:modelRelationship fromTable="profit_tbl" fromColumn="Region" toTable="sales_tbl" toColumn="Region"/>
          <x15:modelRelationship fromTable="cost_tbl" fromColumn="Region" toTable="sales_tbl" toColumn="Regio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5" l="1" a="1"/>
  <c r="E7" i="15" a="1"/>
  <c r="C8" i="4" a="1"/>
  <c r="G7" i="14" a="1"/>
  <c r="K8" i="13"/>
  <c r="K9" i="13"/>
  <c r="K10" i="13"/>
  <c r="K11" i="13"/>
  <c r="K7" i="13"/>
  <c r="C5" i="11"/>
  <c r="C6" i="11"/>
  <c r="C7" i="11"/>
  <c r="C8" i="11"/>
  <c r="C4" i="11"/>
  <c r="C5" i="10"/>
  <c r="C6" i="10"/>
  <c r="C7" i="10"/>
  <c r="C8" i="10"/>
  <c r="C4" i="10"/>
  <c r="C19" i="8" a="1"/>
  <c r="C20" i="8" a="1"/>
  <c r="C21" i="8" a="1"/>
  <c r="C22" i="8" a="1"/>
  <c r="C23" i="8" a="1"/>
  <c r="C18" i="8" a="1"/>
  <c r="F10" i="8"/>
  <c r="F9" i="8"/>
  <c r="F8" i="8"/>
  <c r="F7" i="8"/>
  <c r="F6" i="8"/>
  <c r="F5" i="8"/>
  <c r="E6" i="7"/>
  <c r="F11" i="5"/>
  <c r="F10" i="5"/>
  <c r="F9" i="5"/>
  <c r="F8" i="5"/>
  <c r="F7" i="5"/>
  <c r="F6" i="5"/>
  <c r="B16" i="1" a="1"/>
  <c r="F8" i="1"/>
  <c r="F11" i="1"/>
  <c r="E11" i="1"/>
  <c r="B8" i="1"/>
  <c r="F30" i="1"/>
  <c r="F29" i="1"/>
  <c r="F28" i="1"/>
  <c r="F27" i="1"/>
  <c r="F26" i="1"/>
  <c r="F25" i="1"/>
  <c r="F24" i="1"/>
  <c r="F23" i="1"/>
  <c r="F21" i="1"/>
  <c r="F22" i="1"/>
  <c r="F20" i="1"/>
  <c r="F19" i="1"/>
  <c r="F18" i="1" l="1"/>
  <c r="F17" i="1"/>
  <c r="F16" i="1"/>
  <c r="F31" i="1"/>
  <c r="F33" i="1" s="1"/>
  <c r="F3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FAD3B-5566-440D-8004-A18CB416F47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3FEF2CC-9C65-49AA-BDED-90999FAFB718}" name="WorksheetConnection_EXCEL TRICKS &amp; TUTORIALS.xlsx!cost_tbl" type="102" refreshedVersion="8" minRefreshableVersion="5">
    <extLst>
      <ext xmlns:x15="http://schemas.microsoft.com/office/spreadsheetml/2010/11/main" uri="{DE250136-89BD-433C-8126-D09CA5730AF9}">
        <x15:connection id="cost_tbl">
          <x15:rangePr sourceName="_xlcn.WorksheetConnection_EXCELTRICKSTUTORIALS.xlsxcost_tbl1"/>
        </x15:connection>
      </ext>
    </extLst>
  </connection>
  <connection id="3" xr16:uid="{9DDC7A45-3C93-4975-B255-764681B302E2}" name="WorksheetConnection_EXCEL TRICKS &amp; TUTORIALS.xlsx!profit_tbl" type="102" refreshedVersion="8" minRefreshableVersion="5">
    <extLst>
      <ext xmlns:x15="http://schemas.microsoft.com/office/spreadsheetml/2010/11/main" uri="{DE250136-89BD-433C-8126-D09CA5730AF9}">
        <x15:connection id="profit_tbl">
          <x15:rangePr sourceName="_xlcn.WorksheetConnection_EXCELTRICKSTUTORIALS.xlsxprofit_tbl1"/>
        </x15:connection>
      </ext>
    </extLst>
  </connection>
  <connection id="4" xr16:uid="{7213FD3E-59BE-4E86-B1F0-90E1086B2A7B}" name="WorksheetConnection_EXCEL TRICKS &amp; TUTORIALS.xlsx!sales_tbl" type="102" refreshedVersion="8" minRefreshableVersion="5">
    <extLst>
      <ext xmlns:x15="http://schemas.microsoft.com/office/spreadsheetml/2010/11/main" uri="{DE250136-89BD-433C-8126-D09CA5730AF9}">
        <x15:connection id="sales_tbl">
          <x15:rangePr sourceName="_xlcn.WorksheetConnection_EXCELTRICKSTUTORIALS.xlsxsales_tbl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<sst xmlns="http://schemas.openxmlformats.org/spreadsheetml/2006/main" count="381" uniqueCount="176">
  <si>
    <t>INVOICE</t>
  </si>
  <si>
    <t>Phone: (516) 555-0135</t>
  </si>
  <si>
    <t>INVOICE #</t>
  </si>
  <si>
    <t>DATE</t>
  </si>
  <si>
    <t>QTY</t>
  </si>
  <si>
    <t>UNIT PRICE</t>
  </si>
  <si>
    <t>AMOUNT</t>
  </si>
  <si>
    <t>Thank you for your business!</t>
  </si>
  <si>
    <t>SUBTOTAL</t>
  </si>
  <si>
    <t>TAX RATE</t>
  </si>
  <si>
    <t>TAX</t>
  </si>
  <si>
    <t>TOTAL</t>
  </si>
  <si>
    <t>If you have any questions about this invoice, please contact</t>
  </si>
  <si>
    <t>ITEM DESCRIPTION</t>
  </si>
  <si>
    <t>Jeddah, Saudi Arabia</t>
  </si>
  <si>
    <t>Bawadi District.</t>
  </si>
  <si>
    <t>Invoice No.</t>
  </si>
  <si>
    <t>Item description</t>
  </si>
  <si>
    <t>Customer Data</t>
  </si>
  <si>
    <t>Qty</t>
  </si>
  <si>
    <t>Unit Price</t>
  </si>
  <si>
    <t>CASHIER</t>
  </si>
  <si>
    <t xml:space="preserve">Cashier </t>
  </si>
  <si>
    <t>Cookware Set</t>
  </si>
  <si>
    <t>Dinner Set</t>
  </si>
  <si>
    <t>Dining Table</t>
  </si>
  <si>
    <t>Foldable Table</t>
  </si>
  <si>
    <t>Lamp</t>
  </si>
  <si>
    <t>Outdoor Firepit</t>
  </si>
  <si>
    <t xml:space="preserve">Wall art </t>
  </si>
  <si>
    <t>Side Table</t>
  </si>
  <si>
    <t>Duvet Cover</t>
  </si>
  <si>
    <t>Rattan Laundtry Basket</t>
  </si>
  <si>
    <t>Michelle</t>
  </si>
  <si>
    <t>Kim</t>
  </si>
  <si>
    <t>Andrea</t>
  </si>
  <si>
    <t>Aira</t>
  </si>
  <si>
    <t>Joseph</t>
  </si>
  <si>
    <t>Joel</t>
  </si>
  <si>
    <t>Transaction Type</t>
  </si>
  <si>
    <t xml:space="preserve">Card </t>
  </si>
  <si>
    <t>Cash</t>
  </si>
  <si>
    <t>TRANSACTION TYPE</t>
  </si>
  <si>
    <t>Customer Contact No.</t>
  </si>
  <si>
    <t>CUSTOMER NO.</t>
  </si>
  <si>
    <t>KURT FURNITURE CO.</t>
  </si>
  <si>
    <t>KURT CREATES EXCEL TRICKS &amp; TUTORIALS</t>
  </si>
  <si>
    <t>KIM</t>
  </si>
  <si>
    <t>Order Tracker</t>
  </si>
  <si>
    <t>Product</t>
  </si>
  <si>
    <t>Status</t>
  </si>
  <si>
    <t>In Progress</t>
  </si>
  <si>
    <t xml:space="preserve">Shipped </t>
  </si>
  <si>
    <t>Delivered</t>
  </si>
  <si>
    <t>Hair Blower</t>
  </si>
  <si>
    <t>Vaccum</t>
  </si>
  <si>
    <t>Tool-Kit</t>
  </si>
  <si>
    <t>Hammer</t>
  </si>
  <si>
    <t>Razor</t>
  </si>
  <si>
    <t>Item ID</t>
  </si>
  <si>
    <t>Remarks</t>
  </si>
  <si>
    <t>Location</t>
  </si>
  <si>
    <t>Mandaluyong</t>
  </si>
  <si>
    <t>Pasay</t>
  </si>
  <si>
    <t>Cubao</t>
  </si>
  <si>
    <t>Marilao</t>
  </si>
  <si>
    <t>Bocaue</t>
  </si>
  <si>
    <t>Malolos</t>
  </si>
  <si>
    <t>Order Qty</t>
  </si>
  <si>
    <t>Shipped</t>
  </si>
  <si>
    <t>Pending</t>
  </si>
  <si>
    <t>Completion</t>
  </si>
  <si>
    <t>Paranaque</t>
  </si>
  <si>
    <t xml:space="preserve">Logistics Tracker </t>
  </si>
  <si>
    <t>Cavite</t>
  </si>
  <si>
    <t>Ozamis</t>
  </si>
  <si>
    <t>Tagbilaran</t>
  </si>
  <si>
    <t>Cotabato</t>
  </si>
  <si>
    <t>Employee Name</t>
  </si>
  <si>
    <t>Nash</t>
  </si>
  <si>
    <t>Total Sales</t>
  </si>
  <si>
    <t>Product Sold</t>
  </si>
  <si>
    <t>Laptop</t>
  </si>
  <si>
    <t>Branch</t>
  </si>
  <si>
    <t>Sales Per Branch</t>
  </si>
  <si>
    <t>Market-Market</t>
  </si>
  <si>
    <t>Fairview</t>
  </si>
  <si>
    <t>Up-Town</t>
  </si>
  <si>
    <t>Gilbert</t>
  </si>
  <si>
    <t>RoseMarie</t>
  </si>
  <si>
    <t>Printer</t>
  </si>
  <si>
    <t>Francis</t>
  </si>
  <si>
    <t>Mouse</t>
  </si>
  <si>
    <t>Malou</t>
  </si>
  <si>
    <t>Keyboard</t>
  </si>
  <si>
    <t>Jay-r</t>
  </si>
  <si>
    <t>Case</t>
  </si>
  <si>
    <t>Budget Cost</t>
  </si>
  <si>
    <t>Mechanical Keyboard</t>
  </si>
  <si>
    <t>Mousepad</t>
  </si>
  <si>
    <t>Headset</t>
  </si>
  <si>
    <t>Speakers</t>
  </si>
  <si>
    <t>Digital Clock</t>
  </si>
  <si>
    <t>Gaming Mouse</t>
  </si>
  <si>
    <t>Purchase Data</t>
  </si>
  <si>
    <t>ID</t>
  </si>
  <si>
    <t>Region</t>
  </si>
  <si>
    <t>Western</t>
  </si>
  <si>
    <t>Central</t>
  </si>
  <si>
    <t>Eastern</t>
  </si>
  <si>
    <t>North</t>
  </si>
  <si>
    <t>South</t>
  </si>
  <si>
    <t>Revenue</t>
  </si>
  <si>
    <t>Sales Per Region</t>
  </si>
  <si>
    <t>Profit</t>
  </si>
  <si>
    <t>Profit Per Region</t>
  </si>
  <si>
    <t>Budget Cost Per Region</t>
  </si>
  <si>
    <t>Gaming Consoles</t>
  </si>
  <si>
    <t>Peripherals</t>
  </si>
  <si>
    <t>System Units</t>
  </si>
  <si>
    <t>Gadgets</t>
  </si>
  <si>
    <t>Appliances</t>
  </si>
  <si>
    <t>Grand Total</t>
  </si>
  <si>
    <t>Sales</t>
  </si>
  <si>
    <t>Profit value</t>
  </si>
  <si>
    <t>Cost</t>
  </si>
  <si>
    <t>Furniture</t>
  </si>
  <si>
    <t>Valenzuela</t>
  </si>
  <si>
    <t>Dinning Set</t>
  </si>
  <si>
    <t>Clothing</t>
  </si>
  <si>
    <t>Motherboard</t>
  </si>
  <si>
    <t>Power Supply</t>
  </si>
  <si>
    <t xml:space="preserve">RAM </t>
  </si>
  <si>
    <t>CPU</t>
  </si>
  <si>
    <t>RGB fans</t>
  </si>
  <si>
    <t>Market- Market</t>
  </si>
  <si>
    <t>Net Sales</t>
  </si>
  <si>
    <t>Inventory List</t>
  </si>
  <si>
    <t/>
  </si>
  <si>
    <t>GPU</t>
  </si>
  <si>
    <t>CPU Cooler</t>
  </si>
  <si>
    <t>ROG mouse</t>
  </si>
  <si>
    <t>Mouse pad</t>
  </si>
  <si>
    <t>ROG headphone</t>
  </si>
  <si>
    <t>Corsair chair</t>
  </si>
  <si>
    <t>Gaming Mic</t>
  </si>
  <si>
    <t>RGB speaker</t>
  </si>
  <si>
    <t>Available Stocks</t>
  </si>
  <si>
    <t>Zero Stocks</t>
  </si>
  <si>
    <t>City</t>
  </si>
  <si>
    <t>Employee name</t>
  </si>
  <si>
    <t>Quezon City</t>
  </si>
  <si>
    <t>Bulacan</t>
  </si>
  <si>
    <t>Maynila</t>
  </si>
  <si>
    <t>Tungko</t>
  </si>
  <si>
    <t>Lazaro</t>
  </si>
  <si>
    <t>Megamall</t>
  </si>
  <si>
    <t>Trinoma</t>
  </si>
  <si>
    <t>Bogart</t>
  </si>
  <si>
    <t>Jayr</t>
  </si>
  <si>
    <t>Rustom</t>
  </si>
  <si>
    <t>Julie</t>
  </si>
  <si>
    <t>Michael</t>
  </si>
  <si>
    <t>Cardo</t>
  </si>
  <si>
    <t>QuezonCity</t>
  </si>
  <si>
    <t>MULTIPLE DEPENDENT DROP-DOWN</t>
  </si>
  <si>
    <t>Fred</t>
  </si>
  <si>
    <t>Suzette</t>
  </si>
  <si>
    <t>Ronald</t>
  </si>
  <si>
    <t>Nina</t>
  </si>
  <si>
    <t>Carol</t>
  </si>
  <si>
    <t>Mark</t>
  </si>
  <si>
    <t>Baste</t>
  </si>
  <si>
    <t>Junie</t>
  </si>
  <si>
    <t>Employee name Per Branch</t>
  </si>
  <si>
    <t>Branch Per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</si>
</sst>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%"/>
    <numFmt numFmtId="166" formatCode="_(&quot;$&quot;* #,##0.00_);_(&quot;$&quot;* \(#,##0.00\);_(&quot;$&quot;* &quot;-&quot;??_);_(@_)"/>
    <numFmt numFmtId="167" formatCode="_-[$PHP]\ * #,##0.00_-;\-[$PHP]\ * #,##0.00_-;_-[$PHP]\ * &quot;-&quot;??_-;_-@_-"/>
    <numFmt numFmtId="168" formatCode="0\ &quot;pcs&quot;"/>
  </numFmts>
  <fonts count="49" x14ac:knownFonts="1">
    <font>
      <sz val="11"/>
      <name val="Arial"/>
      <family val="2"/>
    </font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11"/>
      <color theme="1"/>
      <name val="Aptos"/>
      <family val="2"/>
      <scheme val="minor"/>
    </font>
    <font>
      <sz val="11"/>
      <name val="Aptos"/>
      <family val="2"/>
      <scheme val="minor"/>
    </font>
    <font>
      <b/>
      <sz val="18"/>
      <color theme="4" tint="-0.499984740745262"/>
      <name val="Aptos"/>
      <family val="2"/>
      <scheme val="major"/>
    </font>
    <font>
      <sz val="16"/>
      <name val="Aptos"/>
      <family val="2"/>
      <scheme val="minor"/>
    </font>
    <font>
      <sz val="36"/>
      <color theme="4" tint="-0.249977111117893"/>
      <name val="Aptos"/>
      <family val="2"/>
      <scheme val="major"/>
    </font>
    <font>
      <b/>
      <sz val="10"/>
      <name val="Aptos"/>
      <family val="2"/>
      <scheme val="minor"/>
    </font>
    <font>
      <sz val="10"/>
      <name val="Aptos"/>
      <family val="2"/>
      <scheme val="minor"/>
    </font>
    <font>
      <u/>
      <sz val="10"/>
      <color indexed="12"/>
      <name val="Arial"/>
      <family val="2"/>
    </font>
    <font>
      <b/>
      <sz val="10"/>
      <color theme="1" tint="0.34998626667073579"/>
      <name val="Aptos"/>
      <family val="2"/>
      <scheme val="major"/>
    </font>
    <font>
      <b/>
      <sz val="9"/>
      <color theme="1" tint="0.34998626667073579"/>
      <name val="Aptos"/>
      <family val="2"/>
      <scheme val="minor"/>
    </font>
    <font>
      <sz val="10"/>
      <color theme="1" tint="0.34998626667073579"/>
      <name val="Aptos"/>
      <family val="2"/>
      <scheme val="minor"/>
    </font>
    <font>
      <b/>
      <sz val="10"/>
      <color theme="0"/>
      <name val="Aptos"/>
      <family val="2"/>
      <scheme val="minor"/>
    </font>
    <font>
      <b/>
      <sz val="10"/>
      <color theme="0"/>
      <name val="Aptos"/>
      <family val="2"/>
      <scheme val="major"/>
    </font>
    <font>
      <sz val="10"/>
      <color rgb="FF000000"/>
      <name val="Aptos"/>
      <family val="2"/>
      <scheme val="minor"/>
    </font>
    <font>
      <b/>
      <i/>
      <sz val="10"/>
      <color theme="4" tint="-0.249977111117893"/>
      <name val="Aptos"/>
      <family val="2"/>
      <scheme val="minor"/>
    </font>
    <font>
      <sz val="12"/>
      <name val="Aptos"/>
      <family val="2"/>
      <scheme val="minor"/>
    </font>
    <font>
      <b/>
      <sz val="18"/>
      <color theme="0"/>
      <name val="Aptos"/>
      <family val="2"/>
      <scheme val="minor"/>
    </font>
    <font>
      <b/>
      <sz val="18"/>
      <color theme="0"/>
      <name val="Aptos"/>
      <family val="2"/>
      <scheme val="major"/>
    </font>
    <font>
      <b/>
      <sz val="12"/>
      <name val="Aptos"/>
      <family val="2"/>
      <scheme val="minor"/>
    </font>
    <font>
      <sz val="11"/>
      <color theme="1" tint="0.34998626667073579"/>
      <name val="Aptos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6" tint="0.249977111117893"/>
      <name val="Arial"/>
      <family val="2"/>
    </font>
    <font>
      <sz val="11"/>
      <color theme="0"/>
      <name val="Aptos"/>
      <family val="2"/>
      <scheme val="minor"/>
    </font>
    <font>
      <b/>
      <sz val="11"/>
      <color theme="4"/>
      <name val="Aptos"/>
      <family val="2"/>
      <scheme val="minor"/>
    </font>
    <font>
      <b/>
      <sz val="11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sz val="11"/>
      <color theme="0"/>
      <name val="Aptos"/>
      <family val="2"/>
      <scheme val="minor"/>
    </font>
    <font>
      <b/>
      <sz val="11"/>
      <color theme="1"/>
      <name val="Aptos"/>
      <family val="2"/>
      <scheme val="minor"/>
    </font>
    <font>
      <sz val="11"/>
      <color theme="0"/>
      <name val="Impact"/>
      <family val="2"/>
    </font>
    <font>
      <sz val="11"/>
      <color theme="4"/>
      <name val="Impact"/>
      <family val="2"/>
    </font>
    <font>
      <sz val="16"/>
      <color rgb="FFFF0000"/>
      <name val="Impact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5"/>
      <name val="Arial"/>
      <family val="2"/>
    </font>
    <font>
      <b/>
      <sz val="11"/>
      <color rgb="FFFF0000"/>
      <name val="Arial"/>
      <family val="2"/>
    </font>
    <font>
      <b/>
      <sz val="11"/>
      <color theme="6" tint="0.249977111117893"/>
      <name val="Arial"/>
      <family val="2"/>
    </font>
    <font>
      <sz val="14"/>
      <color theme="6" tint="0.249977111117893"/>
      <name val="Arial"/>
      <family val="2"/>
    </font>
    <font>
      <b/>
      <sz val="11"/>
      <color theme="9" tint="-0.249977111117893"/>
      <name val="Arial"/>
      <family val="2"/>
    </font>
    <font>
      <b/>
      <sz val="11"/>
      <color theme="7" tint="-0.249977111117893"/>
      <name val="Arial"/>
      <family val="2"/>
    </font>
    <font>
      <b/>
      <sz val="11"/>
      <color theme="6" tint="9.9978637043366805E-2"/>
      <name val="Arial"/>
      <family val="2"/>
    </font>
    <font>
      <sz val="14"/>
      <color theme="3" tint="0.499984740745262"/>
      <name val="Aptos"/>
      <family val="2"/>
      <scheme val="minor"/>
    </font>
    <font>
      <b/>
      <sz val="14"/>
      <color theme="4"/>
      <name val="Aptos"/>
      <family val="2"/>
      <scheme val="minor"/>
    </font>
    <font>
      <sz val="14"/>
      <color theme="0"/>
      <name val="Aptos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01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01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/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3" tint="0.499984740745262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dotted">
        <color theme="5" tint="0.59996337778862885"/>
      </left>
      <right style="dotted">
        <color theme="5" tint="0.59996337778862885"/>
      </right>
      <top style="dotted">
        <color theme="5" tint="0.59996337778862885"/>
      </top>
      <bottom style="dotted">
        <color theme="5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theme="6" tint="0.749961851863155"/>
      </left>
      <right style="dotted">
        <color theme="6" tint="0.749961851863155"/>
      </right>
      <top style="dotted">
        <color theme="6" tint="0.749961851863155"/>
      </top>
      <bottom style="dotted">
        <color theme="6" tint="0.749961851863155"/>
      </bottom>
      <diagonal/>
    </border>
    <border>
      <left style="dotted">
        <color theme="6" tint="0.749961851863155"/>
      </left>
      <right style="dotted">
        <color theme="6" tint="0.749961851863155"/>
      </right>
      <top/>
      <bottom/>
      <diagonal/>
    </border>
    <border>
      <left/>
      <right/>
      <top/>
      <bottom style="thin">
        <color theme="6" tint="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/>
      <bottom style="thin">
        <color theme="7" tint="-0.24994659260841701"/>
      </bottom>
      <diagonal/>
    </border>
    <border>
      <left/>
      <right style="thin">
        <color theme="6" tint="0.499984740745262"/>
      </right>
      <top/>
      <bottom style="dotted">
        <color theme="6" tint="0.749961851863155"/>
      </bottom>
      <diagonal/>
    </border>
    <border>
      <left style="thin">
        <color theme="6" tint="0.499984740745262"/>
      </left>
      <right/>
      <top/>
      <bottom style="dotted">
        <color theme="6" tint="0.749961851863155"/>
      </bottom>
      <diagonal/>
    </border>
    <border>
      <left/>
      <right style="thin">
        <color theme="6" tint="0.499984740745262"/>
      </right>
      <top style="dotted">
        <color theme="6" tint="0.749961851863155"/>
      </top>
      <bottom style="dotted">
        <color theme="6" tint="0.749961851863155"/>
      </bottom>
      <diagonal/>
    </border>
    <border>
      <left style="thin">
        <color theme="6" tint="0.499984740745262"/>
      </left>
      <right/>
      <top style="dotted">
        <color theme="6" tint="0.749961851863155"/>
      </top>
      <bottom style="dotted">
        <color theme="6" tint="0.749961851863155"/>
      </bottom>
      <diagonal/>
    </border>
    <border>
      <left style="thin">
        <color theme="6" tint="0.499984740745262"/>
      </left>
      <right/>
      <top/>
      <bottom/>
      <diagonal/>
    </border>
    <border>
      <left/>
      <right style="thin">
        <color theme="6" tint="0.499984740745262"/>
      </right>
      <top style="dotted">
        <color theme="6" tint="0.749961851863155"/>
      </top>
      <bottom style="thin">
        <color theme="6" tint="0.499984740745262"/>
      </bottom>
      <diagonal/>
    </border>
    <border>
      <left style="thin">
        <color theme="6" tint="0.499984740745262"/>
      </left>
      <right/>
      <top style="dotted">
        <color theme="6" tint="0.749961851863155"/>
      </top>
      <bottom style="thin">
        <color theme="6" tint="0.49998474074526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3" tint="0.24994659260841701"/>
      </bottom>
      <diagonal/>
    </border>
  </borders>
  <cellStyleXfs count="5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3" fillId="0" borderId="0"/>
  </cellStyleXfs>
  <cellXfs count="183">
    <xf numFmtId="0" fontId="0" fillId="0" borderId="0" xfId="0"/>
    <xf numFmtId="0" fontId="6" fillId="0" borderId="0" xfId="0" applyFont="1"/>
    <xf numFmtId="0" fontId="7" fillId="0" borderId="0" xfId="0" applyFont="1" applyAlignment="1" applyProtection="1">
      <alignment horizontal="left" vertical="center" indent="1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 indent="1"/>
      <protection locked="0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/>
    <xf numFmtId="0" fontId="13" fillId="0" borderId="0" xfId="1" applyFont="1" applyAlignment="1" applyProtection="1">
      <alignment horizontal="left"/>
    </xf>
    <xf numFmtId="0" fontId="14" fillId="0" borderId="0" xfId="1" applyFont="1" applyAlignment="1" applyProtection="1">
      <alignment horizontal="left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10" fillId="0" borderId="0" xfId="0" applyFont="1" applyAlignment="1" applyProtection="1">
      <alignment horizontal="center" vertical="center"/>
      <protection locked="0"/>
    </xf>
    <xf numFmtId="0" fontId="17" fillId="2" borderId="0" xfId="0" applyFont="1" applyFill="1" applyAlignment="1">
      <alignment horizontal="left" vertical="center" indent="1"/>
    </xf>
    <xf numFmtId="0" fontId="11" fillId="0" borderId="0" xfId="0" applyFont="1" applyAlignment="1" applyProtection="1">
      <alignment horizontal="left" vertical="center" indent="1"/>
      <protection locked="0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8" fillId="0" borderId="0" xfId="1" applyFont="1" applyAlignment="1" applyProtection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15" fillId="0" borderId="0" xfId="0" applyFont="1"/>
    <xf numFmtId="0" fontId="11" fillId="3" borderId="1" xfId="0" applyFont="1" applyFill="1" applyBorder="1" applyAlignment="1" applyProtection="1">
      <alignment horizontal="left" vertical="center" indent="1"/>
      <protection locked="0"/>
    </xf>
    <xf numFmtId="0" fontId="11" fillId="3" borderId="1" xfId="0" applyFont="1" applyFill="1" applyBorder="1" applyAlignment="1" applyProtection="1">
      <alignment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64" fontId="11" fillId="3" borderId="2" xfId="0" applyNumberFormat="1" applyFont="1" applyFill="1" applyBorder="1" applyAlignment="1" applyProtection="1">
      <alignment vertical="center"/>
      <protection locked="0"/>
    </xf>
    <xf numFmtId="164" fontId="11" fillId="3" borderId="3" xfId="0" applyNumberFormat="1" applyFont="1" applyFill="1" applyBorder="1" applyAlignment="1">
      <alignment vertical="center"/>
    </xf>
    <xf numFmtId="0" fontId="11" fillId="0" borderId="4" xfId="0" applyFont="1" applyBorder="1" applyAlignment="1" applyProtection="1">
      <alignment horizontal="left" vertical="center" indent="1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164" fontId="11" fillId="0" borderId="5" xfId="0" applyNumberFormat="1" applyFont="1" applyBorder="1" applyAlignment="1" applyProtection="1">
      <alignment vertical="center"/>
      <protection locked="0"/>
    </xf>
    <xf numFmtId="164" fontId="11" fillId="0" borderId="6" xfId="0" applyNumberFormat="1" applyFont="1" applyBorder="1" applyAlignment="1">
      <alignment vertical="center"/>
    </xf>
    <xf numFmtId="0" fontId="11" fillId="0" borderId="7" xfId="0" applyFont="1" applyBorder="1" applyAlignment="1" applyProtection="1">
      <alignment horizontal="left" vertical="center" indent="1"/>
      <protection locked="0"/>
    </xf>
    <xf numFmtId="0" fontId="11" fillId="0" borderId="7" xfId="0" applyFont="1" applyBorder="1" applyAlignment="1" applyProtection="1">
      <alignment vertical="center"/>
      <protection locked="0"/>
    </xf>
    <xf numFmtId="164" fontId="11" fillId="0" borderId="8" xfId="0" applyNumberFormat="1" applyFont="1" applyBorder="1" applyAlignment="1" applyProtection="1">
      <alignment vertical="center"/>
      <protection locked="0"/>
    </xf>
    <xf numFmtId="164" fontId="11" fillId="0" borderId="9" xfId="0" applyNumberFormat="1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 indent="1"/>
    </xf>
    <xf numFmtId="0" fontId="20" fillId="0" borderId="0" xfId="0" applyFont="1"/>
    <xf numFmtId="0" fontId="21" fillId="5" borderId="0" xfId="0" applyFont="1" applyFill="1" applyAlignment="1">
      <alignment horizontal="left" vertical="center" indent="1"/>
    </xf>
    <xf numFmtId="0" fontId="22" fillId="5" borderId="0" xfId="0" applyFont="1" applyFill="1" applyAlignment="1">
      <alignment horizontal="left" vertical="center" indent="1"/>
    </xf>
    <xf numFmtId="166" fontId="23" fillId="0" borderId="0" xfId="0" applyNumberFormat="1" applyFont="1" applyAlignment="1">
      <alignment horizontal="right" vertical="center"/>
    </xf>
    <xf numFmtId="0" fontId="24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25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5" fillId="3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26" fillId="7" borderId="0" xfId="0" applyFont="1" applyFill="1" applyAlignment="1">
      <alignment horizontal="left"/>
    </xf>
    <xf numFmtId="0" fontId="26" fillId="7" borderId="0" xfId="0" applyFont="1" applyFill="1"/>
    <xf numFmtId="0" fontId="26" fillId="7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12" fontId="0" fillId="0" borderId="0" xfId="0" applyNumberFormat="1"/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167" fontId="22" fillId="5" borderId="0" xfId="0" applyNumberFormat="1" applyFont="1" applyFill="1" applyAlignment="1">
      <alignment vertical="center"/>
    </xf>
    <xf numFmtId="0" fontId="26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0" xfId="0" applyFont="1"/>
    <xf numFmtId="0" fontId="25" fillId="8" borderId="0" xfId="0" applyFont="1" applyFill="1" applyAlignment="1">
      <alignment horizontal="center" vertical="center"/>
    </xf>
    <xf numFmtId="12" fontId="25" fillId="8" borderId="0" xfId="0" applyNumberFormat="1" applyFont="1" applyFill="1" applyAlignment="1">
      <alignment horizontal="center" vertical="center"/>
    </xf>
    <xf numFmtId="0" fontId="5" fillId="0" borderId="0" xfId="2"/>
    <xf numFmtId="0" fontId="29" fillId="0" borderId="0" xfId="2" applyFont="1"/>
    <xf numFmtId="0" fontId="5" fillId="0" borderId="0" xfId="2" applyAlignment="1">
      <alignment horizontal="center"/>
    </xf>
    <xf numFmtId="0" fontId="28" fillId="2" borderId="0" xfId="2" applyFont="1" applyFill="1"/>
    <xf numFmtId="0" fontId="28" fillId="3" borderId="0" xfId="2" applyFont="1" applyFill="1"/>
    <xf numFmtId="0" fontId="29" fillId="0" borderId="0" xfId="2" applyFont="1" applyAlignment="1">
      <alignment horizontal="center"/>
    </xf>
    <xf numFmtId="0" fontId="5" fillId="0" borderId="5" xfId="2" applyBorder="1"/>
    <xf numFmtId="0" fontId="5" fillId="0" borderId="5" xfId="2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6" xfId="2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2" borderId="10" xfId="2" applyFont="1" applyFill="1" applyBorder="1" applyAlignment="1">
      <alignment horizontal="center"/>
    </xf>
    <xf numFmtId="0" fontId="25" fillId="10" borderId="0" xfId="0" applyFont="1" applyFill="1" applyAlignment="1">
      <alignment horizontal="left"/>
    </xf>
    <xf numFmtId="0" fontId="25" fillId="10" borderId="0" xfId="0" applyFont="1" applyFill="1"/>
    <xf numFmtId="0" fontId="25" fillId="10" borderId="0" xfId="0" applyFont="1" applyFill="1" applyAlignment="1">
      <alignment horizontal="center"/>
    </xf>
    <xf numFmtId="0" fontId="25" fillId="8" borderId="0" xfId="0" applyFont="1" applyFill="1"/>
    <xf numFmtId="0" fontId="26" fillId="8" borderId="0" xfId="0" applyFont="1" applyFill="1"/>
    <xf numFmtId="0" fontId="26" fillId="3" borderId="0" xfId="0" applyFont="1" applyFill="1"/>
    <xf numFmtId="0" fontId="30" fillId="0" borderId="11" xfId="0" applyFont="1" applyBorder="1" applyAlignment="1">
      <alignment horizontal="left"/>
    </xf>
    <xf numFmtId="0" fontId="30" fillId="0" borderId="11" xfId="0" applyFont="1" applyBorder="1"/>
    <xf numFmtId="0" fontId="30" fillId="0" borderId="11" xfId="0" applyFont="1" applyBorder="1" applyAlignment="1">
      <alignment horizontal="center"/>
    </xf>
    <xf numFmtId="0" fontId="30" fillId="0" borderId="12" xfId="0" applyFont="1" applyBorder="1"/>
    <xf numFmtId="0" fontId="30" fillId="0" borderId="12" xfId="0" applyFont="1" applyBorder="1" applyAlignment="1">
      <alignment horizontal="center"/>
    </xf>
    <xf numFmtId="0" fontId="31" fillId="0" borderId="0" xfId="0" applyFont="1" applyAlignment="1">
      <alignment horizontal="left"/>
    </xf>
    <xf numFmtId="0" fontId="30" fillId="11" borderId="11" xfId="0" applyFont="1" applyFill="1" applyBorder="1" applyAlignment="1">
      <alignment horizontal="left"/>
    </xf>
    <xf numFmtId="0" fontId="30" fillId="11" borderId="11" xfId="0" applyFont="1" applyFill="1" applyBorder="1"/>
    <xf numFmtId="0" fontId="30" fillId="11" borderId="11" xfId="0" applyFont="1" applyFill="1" applyBorder="1" applyAlignment="1">
      <alignment horizontal="center"/>
    </xf>
    <xf numFmtId="0" fontId="30" fillId="9" borderId="11" xfId="0" applyFont="1" applyFill="1" applyBorder="1"/>
    <xf numFmtId="0" fontId="30" fillId="9" borderId="11" xfId="0" applyFont="1" applyFill="1" applyBorder="1" applyAlignment="1">
      <alignment horizontal="center"/>
    </xf>
    <xf numFmtId="0" fontId="30" fillId="0" borderId="12" xfId="0" applyFont="1" applyBorder="1" applyAlignment="1">
      <alignment horizontal="left"/>
    </xf>
    <xf numFmtId="0" fontId="30" fillId="11" borderId="13" xfId="0" applyFont="1" applyFill="1" applyBorder="1" applyAlignment="1">
      <alignment horizontal="left"/>
    </xf>
    <xf numFmtId="0" fontId="30" fillId="11" borderId="13" xfId="0" applyFont="1" applyFill="1" applyBorder="1" applyAlignment="1">
      <alignment horizontal="center"/>
    </xf>
    <xf numFmtId="0" fontId="30" fillId="9" borderId="13" xfId="0" applyFont="1" applyFill="1" applyBorder="1" applyAlignment="1">
      <alignment horizontal="left"/>
    </xf>
    <xf numFmtId="0" fontId="30" fillId="9" borderId="13" xfId="0" applyFont="1" applyFill="1" applyBorder="1"/>
    <xf numFmtId="0" fontId="30" fillId="9" borderId="13" xfId="0" applyFont="1" applyFill="1" applyBorder="1" applyAlignment="1">
      <alignment horizontal="center"/>
    </xf>
    <xf numFmtId="0" fontId="30" fillId="11" borderId="13" xfId="0" applyFont="1" applyFill="1" applyBorder="1"/>
    <xf numFmtId="0" fontId="34" fillId="12" borderId="14" xfId="3" applyFont="1" applyFill="1" applyBorder="1"/>
    <xf numFmtId="0" fontId="33" fillId="0" borderId="14" xfId="3" applyFont="1" applyBorder="1"/>
    <xf numFmtId="0" fontId="4" fillId="0" borderId="0" xfId="3"/>
    <xf numFmtId="0" fontId="35" fillId="13" borderId="15" xfId="3" applyFont="1" applyFill="1" applyBorder="1" applyAlignment="1">
      <alignment horizontal="center" vertical="center"/>
    </xf>
    <xf numFmtId="0" fontId="34" fillId="15" borderId="19" xfId="3" applyFont="1" applyFill="1" applyBorder="1"/>
    <xf numFmtId="0" fontId="34" fillId="15" borderId="19" xfId="3" applyFont="1" applyFill="1" applyBorder="1" applyAlignment="1">
      <alignment horizontal="center"/>
    </xf>
    <xf numFmtId="0" fontId="4" fillId="0" borderId="19" xfId="3" applyBorder="1"/>
    <xf numFmtId="167" fontId="4" fillId="0" borderId="19" xfId="3" applyNumberFormat="1" applyBorder="1" applyAlignment="1">
      <alignment horizontal="center" vertical="center"/>
    </xf>
    <xf numFmtId="0" fontId="25" fillId="7" borderId="20" xfId="0" applyFont="1" applyFill="1" applyBorder="1" applyAlignment="1">
      <alignment horizontal="left"/>
    </xf>
    <xf numFmtId="0" fontId="25" fillId="7" borderId="21" xfId="0" applyFont="1" applyFill="1" applyBorder="1"/>
    <xf numFmtId="0" fontId="25" fillId="7" borderId="21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2" xfId="0" applyBorder="1"/>
    <xf numFmtId="0" fontId="0" fillId="0" borderId="22" xfId="0" applyBorder="1" applyAlignment="1">
      <alignment horizontal="center"/>
    </xf>
    <xf numFmtId="0" fontId="37" fillId="0" borderId="22" xfId="0" applyFont="1" applyBorder="1" applyAlignment="1">
      <alignment horizontal="left"/>
    </xf>
    <xf numFmtId="167" fontId="0" fillId="0" borderId="0" xfId="0" applyNumberFormat="1"/>
    <xf numFmtId="0" fontId="38" fillId="0" borderId="0" xfId="0" applyFont="1" applyAlignment="1">
      <alignment horizontal="left"/>
    </xf>
    <xf numFmtId="0" fontId="38" fillId="0" borderId="0" xfId="0" applyFont="1"/>
    <xf numFmtId="0" fontId="39" fillId="0" borderId="0" xfId="0" applyFont="1" applyAlignment="1">
      <alignment horizontal="left"/>
    </xf>
    <xf numFmtId="0" fontId="0" fillId="0" borderId="0" xfId="0" pivotButton="1"/>
    <xf numFmtId="0" fontId="26" fillId="16" borderId="0" xfId="0" applyFont="1" applyFill="1"/>
    <xf numFmtId="0" fontId="0" fillId="0" borderId="24" xfId="0" applyBorder="1"/>
    <xf numFmtId="0" fontId="25" fillId="8" borderId="23" xfId="0" applyFont="1" applyFill="1" applyBorder="1"/>
    <xf numFmtId="0" fontId="25" fillId="8" borderId="16" xfId="0" applyFont="1" applyFill="1" applyBorder="1"/>
    <xf numFmtId="167" fontId="0" fillId="0" borderId="5" xfId="0" applyNumberFormat="1" applyBorder="1"/>
    <xf numFmtId="167" fontId="0" fillId="0" borderId="5" xfId="0" applyNumberFormat="1" applyBorder="1" applyAlignment="1">
      <alignment horizontal="center"/>
    </xf>
    <xf numFmtId="0" fontId="40" fillId="3" borderId="0" xfId="0" applyFont="1" applyFill="1" applyAlignment="1">
      <alignment horizontal="center"/>
    </xf>
    <xf numFmtId="0" fontId="26" fillId="8" borderId="0" xfId="0" applyFont="1" applyFill="1" applyAlignment="1">
      <alignment horizontal="center"/>
    </xf>
    <xf numFmtId="0" fontId="0" fillId="0" borderId="25" xfId="0" applyBorder="1"/>
    <xf numFmtId="0" fontId="25" fillId="16" borderId="0" xfId="0" applyFont="1" applyFill="1"/>
    <xf numFmtId="0" fontId="25" fillId="3" borderId="0" xfId="0" applyFont="1" applyFill="1"/>
    <xf numFmtId="167" fontId="0" fillId="0" borderId="25" xfId="0" applyNumberFormat="1" applyBorder="1"/>
    <xf numFmtId="0" fontId="0" fillId="0" borderId="26" xfId="0" applyBorder="1"/>
    <xf numFmtId="167" fontId="0" fillId="0" borderId="26" xfId="0" applyNumberFormat="1" applyBorder="1"/>
    <xf numFmtId="0" fontId="26" fillId="18" borderId="0" xfId="0" applyFont="1" applyFill="1" applyAlignment="1">
      <alignment horizontal="left"/>
    </xf>
    <xf numFmtId="0" fontId="26" fillId="18" borderId="0" xfId="0" applyFont="1" applyFill="1"/>
    <xf numFmtId="0" fontId="26" fillId="18" borderId="0" xfId="0" applyFont="1" applyFill="1" applyAlignment="1">
      <alignment horizontal="center"/>
    </xf>
    <xf numFmtId="12" fontId="26" fillId="18" borderId="0" xfId="0" applyNumberFormat="1" applyFont="1" applyFill="1" applyAlignment="1">
      <alignment horizontal="center"/>
    </xf>
    <xf numFmtId="0" fontId="0" fillId="19" borderId="27" xfId="0" applyFill="1" applyBorder="1" applyAlignment="1">
      <alignment horizontal="center"/>
    </xf>
    <xf numFmtId="0" fontId="27" fillId="19" borderId="27" xfId="0" applyFont="1" applyFill="1" applyBorder="1" applyAlignment="1">
      <alignment horizontal="left"/>
    </xf>
    <xf numFmtId="0" fontId="42" fillId="19" borderId="27" xfId="0" applyFont="1" applyFill="1" applyBorder="1"/>
    <xf numFmtId="0" fontId="41" fillId="19" borderId="27" xfId="0" applyFont="1" applyFill="1" applyBorder="1"/>
    <xf numFmtId="0" fontId="25" fillId="17" borderId="0" xfId="0" applyFont="1" applyFill="1"/>
    <xf numFmtId="0" fontId="25" fillId="17" borderId="0" xfId="0" applyFont="1" applyFill="1" applyAlignment="1">
      <alignment horizontal="center"/>
    </xf>
    <xf numFmtId="0" fontId="25" fillId="19" borderId="27" xfId="0" applyFont="1" applyFill="1" applyBorder="1" applyAlignment="1">
      <alignment horizontal="center"/>
    </xf>
    <xf numFmtId="0" fontId="25" fillId="8" borderId="0" xfId="0" applyFont="1" applyFill="1" applyAlignment="1">
      <alignment horizontal="center"/>
    </xf>
    <xf numFmtId="0" fontId="43" fillId="19" borderId="28" xfId="0" applyFont="1" applyFill="1" applyBorder="1"/>
    <xf numFmtId="0" fontId="0" fillId="0" borderId="28" xfId="0" applyBorder="1"/>
    <xf numFmtId="0" fontId="25" fillId="20" borderId="0" xfId="0" applyFont="1" applyFill="1"/>
    <xf numFmtId="0" fontId="25" fillId="20" borderId="0" xfId="0" applyFont="1" applyFill="1" applyAlignment="1">
      <alignment horizontal="center"/>
    </xf>
    <xf numFmtId="0" fontId="44" fillId="19" borderId="29" xfId="0" applyFont="1" applyFill="1" applyBorder="1"/>
    <xf numFmtId="0" fontId="41" fillId="19" borderId="29" xfId="0" applyFont="1" applyFill="1" applyBorder="1" applyAlignment="1">
      <alignment horizontal="center"/>
    </xf>
    <xf numFmtId="0" fontId="0" fillId="0" borderId="30" xfId="0" applyBorder="1"/>
    <xf numFmtId="168" fontId="0" fillId="0" borderId="31" xfId="0" applyNumberFormat="1" applyBorder="1" applyAlignment="1">
      <alignment horizontal="center"/>
    </xf>
    <xf numFmtId="0" fontId="0" fillId="0" borderId="32" xfId="0" applyBorder="1"/>
    <xf numFmtId="168" fontId="0" fillId="0" borderId="33" xfId="0" applyNumberFormat="1" applyBorder="1" applyAlignment="1">
      <alignment horizontal="center"/>
    </xf>
    <xf numFmtId="168" fontId="0" fillId="0" borderId="34" xfId="0" applyNumberFormat="1" applyBorder="1" applyAlignment="1">
      <alignment horizontal="center"/>
    </xf>
    <xf numFmtId="0" fontId="0" fillId="0" borderId="35" xfId="0" applyBorder="1"/>
    <xf numFmtId="168" fontId="0" fillId="0" borderId="36" xfId="0" applyNumberFormat="1" applyBorder="1" applyAlignment="1">
      <alignment horizontal="center"/>
    </xf>
    <xf numFmtId="0" fontId="3" fillId="0" borderId="38" xfId="4" applyBorder="1"/>
    <xf numFmtId="0" fontId="3" fillId="0" borderId="0" xfId="4"/>
    <xf numFmtId="0" fontId="46" fillId="0" borderId="18" xfId="4" applyFont="1" applyBorder="1"/>
    <xf numFmtId="0" fontId="3" fillId="0" borderId="18" xfId="4" applyBorder="1"/>
    <xf numFmtId="0" fontId="47" fillId="0" borderId="38" xfId="4" applyFont="1" applyBorder="1" applyAlignment="1">
      <alignment horizontal="left"/>
    </xf>
    <xf numFmtId="0" fontId="2" fillId="0" borderId="0" xfId="4" applyFont="1"/>
    <xf numFmtId="0" fontId="48" fillId="6" borderId="23" xfId="4" applyFont="1" applyFill="1" applyBorder="1"/>
    <xf numFmtId="0" fontId="1" fillId="0" borderId="0" xfId="4" applyFont="1"/>
    <xf numFmtId="167" fontId="36" fillId="0" borderId="16" xfId="3" applyNumberFormat="1" applyFont="1" applyBorder="1" applyAlignment="1">
      <alignment horizontal="center" vertical="center"/>
    </xf>
    <xf numFmtId="167" fontId="36" fillId="0" borderId="17" xfId="3" applyNumberFormat="1" applyFont="1" applyBorder="1" applyAlignment="1">
      <alignment horizontal="center" vertical="center"/>
    </xf>
    <xf numFmtId="0" fontId="32" fillId="14" borderId="18" xfId="3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7" fillId="2" borderId="0" xfId="0" applyFont="1" applyFill="1" applyAlignment="1">
      <alignment horizontal="left" vertical="center" indent="1"/>
    </xf>
    <xf numFmtId="0" fontId="19" fillId="4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/>
    </xf>
    <xf numFmtId="0" fontId="45" fillId="3" borderId="37" xfId="0" applyFont="1" applyFill="1" applyBorder="1" applyAlignment="1">
      <alignment horizontal="left"/>
    </xf>
    <xf numFmtId="0" fontId="28" fillId="21" borderId="23" xfId="4" applyFont="1" applyFill="1" applyBorder="1"/>
    <xf numFmtId="0" fontId="32" fillId="18" borderId="23" xfId="4" applyFont="1" applyFill="1" applyBorder="1" applyAlignment="1">
      <alignment horizontal="center" vertical="center"/>
    </xf>
    <xf numFmtId="0" fontId="33" fillId="13" borderId="23" xfId="4" applyFont="1" applyFill="1" applyBorder="1" applyAlignment="1">
      <alignment horizontal="center"/>
    </xf>
  </cellXfs>
  <cellStyles count="5">
    <cellStyle name="Hyperlink" xfId="1" builtinId="8"/>
    <cellStyle name="Normal" xfId="0" builtinId="0"/>
    <cellStyle name="Normal 2" xfId="2" xr:uid="{34D1254B-F323-47D0-95DF-81C532956F9E}"/>
    <cellStyle name="Normal 3" xfId="3" xr:uid="{8E9D1036-ACCD-4F70-AA88-B6AD68AD8F23}"/>
    <cellStyle name="Normal 4" xfId="4" xr:uid="{0CFD95BF-3413-444D-AF19-E4DA58532E53}"/>
  </cellStyles>
  <dxfs count="35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</font>
      <fill>
        <patternFill>
          <bgColor rgb="FFFFFF00"/>
        </patternFill>
      </fill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/>
        <horizontal/>
      </border>
    </dxf>
    <dxf>
      <numFmt numFmtId="167" formatCode="_-[$PHP]\ * #,##0.00_-;\-[$PHP]\ * #,##0.00_-;_-[$PHP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numFmt numFmtId="167" formatCode="_-[$PHP]\ * #,##0.00_-;\-[$PHP]\ * #,##0.00_-;_-[$PHP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numFmt numFmtId="167" formatCode="_-[$PHP]\ * #,##0.00_-;\-[$PHP]\ * #,##0.00_-;_-[$PHP]\ * &quot;-&quot;??_-;_-@_-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_-[$PHP]\ * #,##0.00_-;\-[$PHP]\ * #,##0.00_-;_-[$PHP]\ * &quot;-&quot;??_-;_-@_-"/>
      <alignment horizontal="center" vertical="bottom" textRotation="0" wrapText="0" indent="0" justifyLastLine="0" shrinkToFit="0" readingOrder="0"/>
    </dxf>
    <dxf>
      <numFmt numFmtId="167" formatCode="_-[$PHP]\ * #,##0.00_-;\-[$PHP]\ * #,##0.00_-;_-[$PHP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4" tint="-0.24997711111789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5" tint="0.79998168889431442"/>
        </left>
        <right style="thin">
          <color theme="5" tint="0.79998168889431442"/>
        </right>
        <top style="thin">
          <color theme="5" tint="0.79998168889431442"/>
        </top>
        <bottom style="thin">
          <color theme="5" tint="0.79998168889431442"/>
        </bottom>
      </border>
    </dxf>
    <dxf>
      <font>
        <b/>
        <strike val="0"/>
        <outline val="0"/>
        <shadow val="0"/>
        <u val="none"/>
        <vertAlign val="baseline"/>
        <sz val="11"/>
        <color theme="4" tint="-0.24997711111789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5" tint="0.79998168889431442"/>
        </left>
        <right style="thin">
          <color theme="5" tint="0.79998168889431442"/>
        </right>
        <top style="thin">
          <color theme="5" tint="0.79998168889431442"/>
        </top>
        <bottom style="thin">
          <color theme="5" tint="0.79998168889431442"/>
        </bottom>
      </border>
    </dxf>
    <dxf>
      <font>
        <b/>
        <strike val="0"/>
        <outline val="0"/>
        <shadow val="0"/>
        <u val="none"/>
        <vertAlign val="baseline"/>
        <sz val="11"/>
        <color theme="4" tint="-0.249977111117893"/>
        <name val="Arial"/>
        <family val="2"/>
        <scheme val="none"/>
      </font>
      <border diagonalUp="0" diagonalDown="0" outline="0">
        <left style="thin">
          <color theme="5" tint="0.79998168889431442"/>
        </left>
        <right style="thin">
          <color theme="5" tint="0.79998168889431442"/>
        </right>
        <top style="thin">
          <color theme="5" tint="0.79998168889431442"/>
        </top>
        <bottom style="thin">
          <color theme="5" tint="0.79998168889431442"/>
        </bottom>
      </border>
    </dxf>
    <dxf>
      <font>
        <b/>
        <strike val="0"/>
        <outline val="0"/>
        <shadow val="0"/>
        <u val="none"/>
        <vertAlign val="baseline"/>
        <sz val="11"/>
        <color theme="4" tint="-0.249977111117893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5" tint="0.79998168889431442"/>
        </left>
        <right style="thin">
          <color theme="5" tint="0.79998168889431442"/>
        </right>
        <top style="thin">
          <color theme="5" tint="0.79998168889431442"/>
        </top>
        <bottom style="thin">
          <color theme="5" tint="0.79998168889431442"/>
        </bottom>
      </border>
    </dxf>
    <dxf>
      <border outline="0">
        <bottom style="thin">
          <color theme="5" tint="0.79998168889431442"/>
        </bottom>
      </border>
    </dxf>
    <dxf>
      <font>
        <b/>
        <strike val="0"/>
        <outline val="0"/>
        <shadow val="0"/>
        <u val="none"/>
        <vertAlign val="baseline"/>
        <sz val="11"/>
        <color theme="4" tint="-0.249977111117893"/>
        <name val="Arial"/>
        <family val="2"/>
        <scheme val="none"/>
      </font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Impact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numFmt numFmtId="17" formatCode="#\ ?/?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_-[$PHP]\ * #,##0.00_-;\-[$PHP]\ * #,##0.00_-;_-[$PHP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6" tint="0.249977111117893"/>
        </patternFill>
      </fill>
      <alignment horizontal="center" vertical="bottom" textRotation="0" wrapText="0" indent="0" justifyLastLine="0" shrinkToFit="0" readingOrder="0"/>
    </dxf>
    <dxf>
      <numFmt numFmtId="167" formatCode="_-[$PHP]\ * #,##0.00_-;\-[$PHP]\ * #,##0.00_-;_-[$PHP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heetMetadata" Target="metadata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4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281940</xdr:colOff>
      <xdr:row>0</xdr:row>
      <xdr:rowOff>45720</xdr:rowOff>
    </xdr:from>
    <xdr:ext cx="8671560" cy="5486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B95BE6-EBDF-48B3-90EF-E678046A925F}"/>
            </a:ext>
          </a:extLst>
        </xdr:cNvPr>
        <xdr:cNvSpPr txBox="1"/>
      </xdr:nvSpPr>
      <xdr:spPr>
        <a:xfrm>
          <a:off x="281940" y="45720"/>
          <a:ext cx="8671560" cy="548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2400" b="1" u="sng">
              <a:solidFill>
                <a:schemeClr val="accent6">
                  <a:lumMod val="75000"/>
                </a:schemeClr>
              </a:solidFill>
              <a:latin typeface="Impact" panose="020B0806030902050204" pitchFamily="34" charset="0"/>
            </a:rPr>
            <a:t>CALCULATE</a:t>
          </a:r>
          <a:r>
            <a:rPr lang="en-GB" sz="2400" b="1" u="sng" baseline="0">
              <a:solidFill>
                <a:schemeClr val="accent6">
                  <a:lumMod val="75000"/>
                </a:schemeClr>
              </a:solidFill>
              <a:latin typeface="Impact" panose="020B0806030902050204" pitchFamily="34" charset="0"/>
            </a:rPr>
            <a:t> MULTIPLE CRITERIA USING SUMIFS AND XLOOKUP FUNCTION</a:t>
          </a:r>
          <a:endParaRPr lang="en-GB" sz="2400" b="1" u="sng">
            <a:solidFill>
              <a:schemeClr val="accent6">
                <a:lumMod val="75000"/>
              </a:schemeClr>
            </a:solidFill>
            <a:latin typeface="Impact" panose="020B080603090205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2</xdr:row>
          <xdr:rowOff>38100</xdr:rowOff>
        </xdr:from>
        <xdr:to>
          <xdr:col>4</xdr:col>
          <xdr:colOff>304800</xdr:colOff>
          <xdr:row>3</xdr:row>
          <xdr:rowOff>95250</xdr:rowOff>
        </xdr:to>
        <xdr:sp macro="" textlink="">
          <xdr:nvSpPr>
            <xdr:cNvPr id="3076" name="CommandButton1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39688</xdr:colOff>
      <xdr:row>1</xdr:row>
      <xdr:rowOff>150812</xdr:rowOff>
    </xdr:from>
    <xdr:to>
      <xdr:col>6</xdr:col>
      <xdr:colOff>420687</xdr:colOff>
      <xdr:row>3</xdr:row>
      <xdr:rowOff>71438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06F5E80-9630-787C-3CFC-F2C412D547A9}"/>
            </a:ext>
          </a:extLst>
        </xdr:cNvPr>
        <xdr:cNvGrpSpPr/>
      </xdr:nvGrpSpPr>
      <xdr:grpSpPr>
        <a:xfrm>
          <a:off x="1770063" y="333375"/>
          <a:ext cx="4230687" cy="484188"/>
          <a:chOff x="5397500" y="381000"/>
          <a:chExt cx="3770312" cy="484188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0" name="TextBox1" hidden="1">
                <a:extLst>
                  <a:ext uri="{63B3BB69-23CF-44E3-9099-C40C66FF867C}">
                    <a14:compatExt spid="_x0000_s2050"/>
                  </a:ext>
                  <a:ext uri="{FF2B5EF4-FFF2-40B4-BE49-F238E27FC236}">
                    <a16:creationId xmlns:a16="http://schemas.microsoft.com/office/drawing/2014/main" id="{00000000-0008-0000-0500-000002080000}"/>
                  </a:ext>
                </a:extLst>
              </xdr:cNvPr>
              <xdr:cNvSpPr/>
            </xdr:nvSpPr>
            <xdr:spPr bwMode="auto">
              <a:xfrm>
                <a:off x="5476875" y="404812"/>
                <a:ext cx="3627437" cy="420687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41B3A7DE-0619-6925-2EF2-7C1583ABE768}"/>
              </a:ext>
            </a:extLst>
          </xdr:cNvPr>
          <xdr:cNvSpPr/>
        </xdr:nvSpPr>
        <xdr:spPr>
          <a:xfrm>
            <a:off x="5397500" y="381000"/>
            <a:ext cx="3770312" cy="484188"/>
          </a:xfrm>
          <a:prstGeom prst="roundRect">
            <a:avLst/>
          </a:prstGeom>
          <a:noFill/>
          <a:ln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ln>
                <a:solidFill>
                  <a:schemeClr val="bg1">
                    <a:lumMod val="85000"/>
                  </a:schemeClr>
                </a:solidFill>
              </a:ln>
              <a:noFill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659865</xdr:colOff>
      <xdr:row>0</xdr:row>
      <xdr:rowOff>19049</xdr:rowOff>
    </xdr:from>
    <xdr:to>
      <xdr:col>9</xdr:col>
      <xdr:colOff>40165</xdr:colOff>
      <xdr:row>1</xdr:row>
      <xdr:rowOff>154924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7887-C960-7CEC-5932-19B46AB48976}"/>
            </a:ext>
          </a:extLst>
        </xdr:cNvPr>
        <xdr:cNvSpPr txBox="1"/>
      </xdr:nvSpPr>
      <xdr:spPr>
        <a:xfrm>
          <a:off x="659865" y="19049"/>
          <a:ext cx="8216746" cy="319489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sz="1800" b="1">
              <a:solidFill>
                <a:schemeClr val="bg1"/>
              </a:solidFill>
            </a:rPr>
            <a:t>DYNAMIC</a:t>
          </a:r>
          <a:r>
            <a:rPr lang="en-GB" sz="1800" b="1" baseline="0">
              <a:solidFill>
                <a:schemeClr val="bg1"/>
              </a:solidFill>
            </a:rPr>
            <a:t> INVENTORY TRACKER </a:t>
          </a:r>
          <a:endParaRPr lang="en-GB" sz="1800" b="1">
            <a:solidFill>
              <a:schemeClr val="bg1"/>
            </a:solidFill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urteny Madronero" refreshedDate="46184.966676620374" createdVersion="5" refreshedVersion="8" minRefreshableVersion="3" recordCount="0" supportSubquery="1" supportAdvancedDrill="1" xr:uid="{A042BE82-F8FB-4A2C-BAE9-2E55B8234F36}">
  <cacheSource type="external" connectionId="1"/>
  <cacheFields count="4">
    <cacheField name="[sales_tbl].[Region].[Region]" caption="Region" numFmtId="0" hierarchy="6" level="1">
      <sharedItems count="5">
        <s v="Central"/>
        <s v="Eastern"/>
        <s v="North"/>
        <s v="South"/>
        <s v="Western"/>
      </sharedItems>
    </cacheField>
    <cacheField name="[Measures].[Sum of Revenue]" caption="Sum of Revenue" numFmtId="0" hierarchy="12" level="32767"/>
    <cacheField name="[Measures].[Sum of Profit]" caption="Sum of Profit" numFmtId="0" hierarchy="13" level="32767"/>
    <cacheField name="[Measures].[Sum of Budget Cost]" caption="Sum of Budget Cost" numFmtId="0" hierarchy="14" level="32767"/>
  </cacheFields>
  <cacheHierarchies count="15">
    <cacheHierarchy uniqueName="[cost_tbl].[Region]" caption="Region" attribute="1" defaultMemberUniqueName="[cost_tbl].[Region].[All]" allUniqueName="[cost_tbl].[Region].[All]" dimensionUniqueName="[cost_tbl]" displayFolder="" count="0" memberValueDatatype="130" unbalanced="0"/>
    <cacheHierarchy uniqueName="[cost_tbl].[Budget Cost]" caption="Budget Cost" attribute="1" defaultMemberUniqueName="[cost_tbl].[Budget Cost].[All]" allUniqueName="[cost_tbl].[Budget Cost].[All]" dimensionUniqueName="[cost_tbl]" displayFolder="" count="0" memberValueDatatype="20" unbalanced="0"/>
    <cacheHierarchy uniqueName="[cost_tbl].[Product]" caption="Product" attribute="1" defaultMemberUniqueName="[cost_tbl].[Product].[All]" allUniqueName="[cost_tbl].[Product].[All]" dimensionUniqueName="[cost_tbl]" displayFolder="" count="0" memberValueDatatype="130" unbalanced="0"/>
    <cacheHierarchy uniqueName="[profit_tbl].[Region]" caption="Region" attribute="1" defaultMemberUniqueName="[profit_tbl].[Region].[All]" allUniqueName="[profit_tbl].[Region].[All]" dimensionUniqueName="[profit_tbl]" displayFolder="" count="0" memberValueDatatype="130" unbalanced="0"/>
    <cacheHierarchy uniqueName="[profit_tbl].[Profit]" caption="Profit" attribute="1" defaultMemberUniqueName="[profit_tbl].[Profit].[All]" allUniqueName="[profit_tbl].[Profit].[All]" dimensionUniqueName="[profit_tbl]" displayFolder="" count="0" memberValueDatatype="20" unbalanced="0"/>
    <cacheHierarchy uniqueName="[sales_tbl].[ID]" caption="ID" attribute="1" defaultMemberUniqueName="[sales_tbl].[ID].[All]" allUniqueName="[sales_tbl].[ID].[All]" dimensionUniqueName="[sales_tbl]" displayFolder="" count="0" memberValueDatatype="20" unbalanced="0"/>
    <cacheHierarchy uniqueName="[sales_tbl].[Region]" caption="Region" attribute="1" defaultMemberUniqueName="[sales_tbl].[Region].[All]" allUniqueName="[sales_tbl].[Region].[All]" dimensionUniqueName="[sales_tbl]" displayFolder="" count="2" memberValueDatatype="130" unbalanced="0">
      <fieldsUsage count="2">
        <fieldUsage x="-1"/>
        <fieldUsage x="0"/>
      </fieldsUsage>
    </cacheHierarchy>
    <cacheHierarchy uniqueName="[sales_tbl].[Revenue]" caption="Revenue" attribute="1" defaultMemberUniqueName="[sales_tbl].[Revenue].[All]" allUniqueName="[sales_tbl].[Revenue].[All]" dimensionUniqueName="[sales_tbl]" displayFolder="" count="0" memberValueDatatype="20" unbalanced="0"/>
    <cacheHierarchy uniqueName="[Measures].[__XL_Count sales_tbl]" caption="__XL_Count sales_tbl" measure="1" displayFolder="" measureGroup="sales_tbl" count="0" hidden="1"/>
    <cacheHierarchy uniqueName="[Measures].[__XL_Count profit_tbl]" caption="__XL_Count profit_tbl" measure="1" displayFolder="" measureGroup="profit_tbl" count="0" hidden="1"/>
    <cacheHierarchy uniqueName="[Measures].[__XL_Count cost_tbl]" caption="__XL_Count cost_tbl" measure="1" displayFolder="" measureGroup="cost_tbl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_tb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ofit]" caption="Sum of Profit" measure="1" displayFolder="" measureGroup="profit_tb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udget Cost]" caption="Sum of Budget Cost" measure="1" displayFolder="" measureGroup="cost_tb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4">
    <dimension name="cost_tbl" uniqueName="[cost_tbl]" caption="cost_tbl"/>
    <dimension measure="1" name="Measures" uniqueName="[Measures]" caption="Measures"/>
    <dimension name="profit_tbl" uniqueName="[profit_tbl]" caption="profit_tbl"/>
    <dimension name="sales_tbl" uniqueName="[sales_tbl]" caption="sales_tbl"/>
  </dimensions>
  <measureGroups count="3">
    <measureGroup name="cost_tbl" caption="cost_tbl"/>
    <measureGroup name="profit_tbl" caption="profit_tbl"/>
    <measureGroup name="sales_tbl" caption="sales_tbl"/>
  </measureGroups>
  <maps count="5">
    <map measureGroup="0" dimension="0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46897-9523-4B47-9E85-9FE90F943920}" name="PivotTable1" cacheId="0" applyNumberFormats="0" applyBorderFormats="0" applyFontFormats="0" applyPatternFormats="0" applyAlignmentFormats="0" applyWidthHeightFormats="1" dataCaption="Values" tag="a5f49c7e-7892-4e21-bae4-e59205ac8cf2" updatedVersion="8" minRefreshableVersion="3" useAutoFormatting="1" itemPrintTitles="1" createdVersion="5" indent="0" outline="1" outlineData="1" multipleFieldFilters="0" rowHeaderCaption="Region">
  <location ref="B3:E9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" fld="1" baseField="0" baseItem="0"/>
    <dataField name="Profit value" fld="2" baseField="0" baseItem="0"/>
    <dataField name="Cost" fld="3" baseField="0" baseItem="0"/>
  </dataFields>
  <formats count="1">
    <format dxfId="34">
      <pivotArea outline="0" collapsedLevelsAreSubtotals="1" fieldPosition="0"/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"/>
    <pivotHierarchy dragToData="1" caption="Profit value"/>
    <pivotHierarchy dragToData="1" caption="Cost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bl]"/>
        <x15:activeTabTopLevelEntity name="[profit_tbl]"/>
        <x15:activeTabTopLevelEntity name="[cost_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0BB68-0760-4165-98CB-ACE6D12251E8}" name="Table1" displayName="Table1" ref="B4:H25" totalsRowShown="0" headerRowDxfId="33" dataDxfId="32">
  <autoFilter ref="B4:H25" xr:uid="{E500BB68-0760-4165-98CB-ACE6D12251E8}"/>
  <tableColumns count="7">
    <tableColumn id="1" xr3:uid="{56AB56C2-8362-45CA-ABD2-DFEA26C040B2}" name="Invoice No." dataDxfId="31"/>
    <tableColumn id="2" xr3:uid="{C5ED672E-B72E-4733-A2FD-5D03E2B835B0}" name="Item description"/>
    <tableColumn id="3" xr3:uid="{A226A637-B2C7-4F40-8AD3-E62F222178E2}" name="Qty" dataDxfId="30"/>
    <tableColumn id="4" xr3:uid="{47E9DDAD-BE93-4645-A161-844B16CF9232}" name="Unit Price" dataDxfId="29"/>
    <tableColumn id="5" xr3:uid="{0B0768F1-E256-4155-8105-215A166FB987}" name="Cashier " dataDxfId="28"/>
    <tableColumn id="6" xr3:uid="{2124EC5F-C707-4BA1-A0BA-B77E3B87483A}" name="Transaction Type" dataDxfId="27"/>
    <tableColumn id="7" xr3:uid="{E4F76A97-EAFA-4414-B1D7-540A02FF8AA5}" name="Customer Contact No." dataDxfId="2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A6C185-A637-43FA-B104-DBD5F1005D87}" name="Table14" displayName="Table14" ref="B10:G24" totalsRowShown="0" headerRowDxfId="25" headerRowBorderDxfId="24" tableBorderDxfId="23">
  <autoFilter ref="B10:G24" xr:uid="{4DF507B3-AE6C-4B8C-A6BD-8949F7E762F6}"/>
  <tableColumns count="6">
    <tableColumn id="1" xr3:uid="{D76FAE52-CD13-4940-AD3B-EB9B443903FD}" name="Employee Name"/>
    <tableColumn id="2" xr3:uid="{7E58BE04-789F-424E-A57C-FB938F29F88F}" name="Product Sold"/>
    <tableColumn id="3" xr3:uid="{89B5DAEE-7583-4001-89A3-712CE3181CAB}" name="Market-Market"/>
    <tableColumn id="4" xr3:uid="{5DA96461-B4AC-44CC-910A-9431AEA79A16}" name="Fairview"/>
    <tableColumn id="5" xr3:uid="{236F677D-AA6F-4F05-ADFE-EABF15093057}" name="Pasay"/>
    <tableColumn id="6" xr3:uid="{A8F4944D-5577-4E38-A440-8432C41AD0B8}" name="Up-Tow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C7E02-CE21-4E99-9868-0D16B1CAC6B0}" name="Table2" displayName="Table2" ref="B5:E11" totalsRowShown="0" dataDxfId="22" tableBorderDxfId="21">
  <autoFilter ref="B5:E11" xr:uid="{AC4C7E02-CE21-4E99-9868-0D16B1CAC6B0}"/>
  <tableColumns count="4">
    <tableColumn id="1" xr3:uid="{D20FEFC1-100C-4675-B132-D6EAC187DB51}" name="Item ID" dataDxfId="20"/>
    <tableColumn id="2" xr3:uid="{79F83618-F0C9-4821-8050-BE1EF1711E2A}" name="Location" dataDxfId="19"/>
    <tableColumn id="3" xr3:uid="{763246E0-F9CE-4C11-AD14-77A26D78CD19}" name="Order Qty" dataDxfId="18"/>
    <tableColumn id="4" xr3:uid="{7AFF9A9B-3357-49C9-AD72-79F2ED7CDECC}" name="Remarks" dataDxfId="1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F8E4D5-E347-402F-B8EE-0A69F718D880}" name="Table15" displayName="Table15" ref="B4:G10" totalsRowShown="0" headerRowDxfId="16" dataDxfId="15">
  <autoFilter ref="B4:G10" xr:uid="{E500BB68-0760-4165-98CB-ACE6D12251E8}"/>
  <tableColumns count="6">
    <tableColumn id="1" xr3:uid="{17F499CD-BE40-4900-BBC7-89D1D4E1F0C4}" name="Invoice No." dataDxfId="14"/>
    <tableColumn id="2" xr3:uid="{208E38A1-C84D-47C2-80A4-3A85A8270093}" name="Item description"/>
    <tableColumn id="3" xr3:uid="{05405F1C-450E-454D-A004-18AFD424232B}" name="Qty" dataDxfId="13"/>
    <tableColumn id="4" xr3:uid="{218370E7-3DFF-41DB-9718-2BB712F8FEC3}" name="Unit Price" dataDxfId="12"/>
    <tableColumn id="9" xr3:uid="{DCACFFF2-C985-40A2-AD08-A106F14F4438}" name="Budget Cost" dataDxfId="11">
      <calculatedColumnFormula>SUM(Table15[[#This Row],[Qty]]*Table15[[#This Row],[Unit Price]])</calculatedColumnFormula>
    </tableColumn>
    <tableColumn id="5" xr3:uid="{5409E4AA-2BE0-4B98-8F8A-99D0295C64C9}" name="Cashier " dataDxfId="10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34D21F-53B6-45ED-9130-CE84CD86D5B9}" name="sales_tbl" displayName="sales_tbl" ref="B3:D8" totalsRowShown="0">
  <autoFilter ref="B3:D8" xr:uid="{A034D21F-53B6-45ED-9130-CE84CD86D5B9}"/>
  <tableColumns count="3">
    <tableColumn id="1" xr3:uid="{0DF7D449-F46E-4269-87BD-CEE7FF5F0D69}" name="ID" dataDxfId="9"/>
    <tableColumn id="2" xr3:uid="{5A3475AE-8F0B-4C4F-9A7E-57A7F9577C67}" name="Region"/>
    <tableColumn id="3" xr3:uid="{E890D679-6FCB-46AC-A120-D9F80D987270}" name="Revenue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8AD663-78EF-4D0D-9A54-A40C8536C568}" name="profit_tbl" displayName="profit_tbl" ref="B3:C8" totalsRowShown="0" headerRowDxfId="7">
  <autoFilter ref="B3:C8" xr:uid="{7B8AD663-78EF-4D0D-9A54-A40C8536C568}"/>
  <tableColumns count="2">
    <tableColumn id="1" xr3:uid="{A2CEE11F-8086-4795-BCD6-2A42052A5F85}" name="Region"/>
    <tableColumn id="2" xr3:uid="{FF1F2B70-E5A4-4B2F-9E2C-5DBEC72A3415}" name="Profit" dataDxfId="6">
      <calculatedColumnFormula>Sales!D4/2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EF6EA9-E5C2-4721-9300-932BAA1F9904}" name="cost_tbl" displayName="cost_tbl" ref="B3:D8" totalsRowShown="0" headerRowDxfId="5">
  <autoFilter ref="B3:D8" xr:uid="{E8EF6EA9-E5C2-4721-9300-932BAA1F9904}"/>
  <tableColumns count="3">
    <tableColumn id="1" xr3:uid="{B298B918-E877-449C-ADFC-92088BA6D8D6}" name="Region"/>
    <tableColumn id="2" xr3:uid="{59266727-E4E9-47FD-82B1-6D78229F57F1}" name="Budget Cost" dataDxfId="4">
      <calculatedColumnFormula>Sales!D4*2</calculatedColumnFormula>
    </tableColumn>
    <tableColumn id="3" xr3:uid="{3A71BDEE-210F-4746-A35F-EABB0A2964BD}" name="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imple service invo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C5D99"/>
      </a:accent1>
      <a:accent2>
        <a:srgbClr val="1768AC"/>
      </a:accent2>
      <a:accent3>
        <a:srgbClr val="1C3738"/>
      </a:accent3>
      <a:accent4>
        <a:srgbClr val="833B61"/>
      </a:accent4>
      <a:accent5>
        <a:srgbClr val="8B85C1"/>
      </a:accent5>
      <a:accent6>
        <a:srgbClr val="C5D86D"/>
      </a:accent6>
      <a:hlink>
        <a:srgbClr val="467886"/>
      </a:hlink>
      <a:folHlink>
        <a:srgbClr val="96607D"/>
      </a:folHlink>
    </a:clrScheme>
    <a:fontScheme name="Custom 22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table" Target="../tables/table3.xml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10AA-C540-4179-B039-E3FEBAF3B9C9}">
  <dimension ref="B2:L20"/>
  <sheetViews>
    <sheetView showGridLines="0" tabSelected="1" zoomScale="180" zoomScaleNormal="180" workbookViewId="0">
      <selection activeCell="D8" sqref="D8"/>
    </sheetView>
  </sheetViews>
  <sheetFormatPr defaultRowHeight="15" x14ac:dyDescent="0.25"/>
  <cols>
    <col min="1" max="1" width="9" style="163"/>
    <col min="2" max="2" width="12.875" style="163" customWidth="1"/>
    <col min="3" max="3" width="9" style="163"/>
    <col min="4" max="4" width="17.875" style="163" bestFit="1" customWidth="1"/>
    <col min="5" max="6" width="9" style="163"/>
    <col min="7" max="7" width="14" style="163" customWidth="1"/>
    <col min="8" max="16384" width="9" style="163"/>
  </cols>
  <sheetData>
    <row r="2" spans="2:12" ht="18.75" x14ac:dyDescent="0.3">
      <c r="B2" s="166" t="s">
        <v>165</v>
      </c>
      <c r="C2" s="162"/>
      <c r="D2" s="162"/>
      <c r="G2" s="164" t="s">
        <v>175</v>
      </c>
      <c r="H2" s="165"/>
      <c r="I2" s="165"/>
    </row>
    <row r="4" spans="2:12" ht="18.75" x14ac:dyDescent="0.3">
      <c r="B4" s="168" t="s">
        <v>149</v>
      </c>
      <c r="C4" s="168" t="s">
        <v>83</v>
      </c>
      <c r="D4" s="168" t="s">
        <v>150</v>
      </c>
      <c r="G4" s="181" t="s">
        <v>164</v>
      </c>
      <c r="H4" s="181" t="s">
        <v>152</v>
      </c>
      <c r="I4" s="181" t="s">
        <v>153</v>
      </c>
    </row>
    <row r="5" spans="2:12" x14ac:dyDescent="0.25">
      <c r="B5" s="163" t="s">
        <v>153</v>
      </c>
      <c r="C5" s="163" t="s">
        <v>155</v>
      </c>
      <c r="D5" s="163" t="s">
        <v>171</v>
      </c>
      <c r="G5" s="167" t="s">
        <v>64</v>
      </c>
      <c r="H5" s="163" t="s">
        <v>154</v>
      </c>
      <c r="I5" s="163" t="s">
        <v>155</v>
      </c>
    </row>
    <row r="6" spans="2:12" x14ac:dyDescent="0.25">
      <c r="G6" s="163" t="s">
        <v>86</v>
      </c>
      <c r="H6" s="163" t="s">
        <v>65</v>
      </c>
      <c r="I6" s="163" t="s">
        <v>156</v>
      </c>
    </row>
    <row r="7" spans="2:12" x14ac:dyDescent="0.25">
      <c r="G7" s="163" t="s">
        <v>157</v>
      </c>
      <c r="H7" s="163" t="s">
        <v>66</v>
      </c>
    </row>
    <row r="14" spans="2:12" ht="18.75" x14ac:dyDescent="0.3">
      <c r="G14" s="164" t="s">
        <v>174</v>
      </c>
      <c r="H14" s="165"/>
      <c r="I14" s="165"/>
    </row>
    <row r="16" spans="2:12" x14ac:dyDescent="0.25">
      <c r="E16" s="182" t="s">
        <v>151</v>
      </c>
      <c r="F16" s="182"/>
      <c r="G16" s="182"/>
      <c r="H16" s="182" t="s">
        <v>152</v>
      </c>
      <c r="I16" s="182"/>
      <c r="J16" s="182"/>
      <c r="K16" s="182" t="s">
        <v>153</v>
      </c>
      <c r="L16" s="182"/>
    </row>
    <row r="17" spans="5:12" x14ac:dyDescent="0.25">
      <c r="E17" s="180" t="s">
        <v>64</v>
      </c>
      <c r="F17" s="180" t="s">
        <v>86</v>
      </c>
      <c r="G17" s="180" t="s">
        <v>157</v>
      </c>
      <c r="H17" s="180" t="s">
        <v>154</v>
      </c>
      <c r="I17" s="180" t="s">
        <v>65</v>
      </c>
      <c r="J17" s="180" t="s">
        <v>66</v>
      </c>
      <c r="K17" s="180" t="s">
        <v>155</v>
      </c>
      <c r="L17" s="180" t="s">
        <v>156</v>
      </c>
    </row>
    <row r="18" spans="5:12" x14ac:dyDescent="0.25">
      <c r="E18" s="167" t="s">
        <v>161</v>
      </c>
      <c r="F18" s="167" t="s">
        <v>166</v>
      </c>
      <c r="G18" s="167" t="s">
        <v>167</v>
      </c>
      <c r="H18" s="169" t="s">
        <v>172</v>
      </c>
      <c r="I18" s="167" t="s">
        <v>159</v>
      </c>
      <c r="J18" s="167" t="s">
        <v>163</v>
      </c>
      <c r="K18" s="167" t="s">
        <v>169</v>
      </c>
      <c r="L18" s="167" t="s">
        <v>170</v>
      </c>
    </row>
    <row r="19" spans="5:12" x14ac:dyDescent="0.25">
      <c r="E19" s="167" t="s">
        <v>158</v>
      </c>
      <c r="G19" s="167" t="s">
        <v>168</v>
      </c>
      <c r="H19" s="169" t="s">
        <v>173</v>
      </c>
      <c r="I19" s="167" t="s">
        <v>160</v>
      </c>
      <c r="K19" s="167" t="s">
        <v>171</v>
      </c>
    </row>
    <row r="20" spans="5:12" x14ac:dyDescent="0.25">
      <c r="I20" s="167" t="s">
        <v>162</v>
      </c>
    </row>
  </sheetData>
  <mergeCells count="3">
    <mergeCell ref="E16:G16"/>
    <mergeCell ref="H16:J16"/>
    <mergeCell ref="K16:L16"/>
  </mergeCells>
  <dataValidations count="3">
    <dataValidation type="list" allowBlank="1" showInputMessage="1" showErrorMessage="1" sqref="B5" xr:uid="{98017B8B-5EBF-46B0-B201-7F528D9C314F}">
      <formula1>$G$4:$I$4</formula1>
    </dataValidation>
    <dataValidation type="list" allowBlank="1" showInputMessage="1" showErrorMessage="1" sqref="C5" xr:uid="{7951000C-B467-42F2-888F-8A86CF455A02}">
      <formula1>INDIRECT($B5)</formula1>
    </dataValidation>
    <dataValidation type="list" allowBlank="1" showInputMessage="1" showErrorMessage="1" sqref="D5" xr:uid="{1E8AB167-D03B-4989-86B5-3866D1D87A42}">
      <formula1>INDIRECT($C5)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6D1C-B456-46C1-A514-5837DFE4184C}">
  <sheetPr codeName="Sheet21"/>
  <dimension ref="B2:I25"/>
  <sheetViews>
    <sheetView showGridLines="0" zoomScale="130" zoomScaleNormal="130" workbookViewId="0">
      <selection activeCell="J5" sqref="J5"/>
    </sheetView>
  </sheetViews>
  <sheetFormatPr defaultRowHeight="14.25" x14ac:dyDescent="0.2"/>
  <cols>
    <col min="2" max="2" width="14.25" style="51" bestFit="1" customWidth="1"/>
    <col min="3" max="3" width="17.5" customWidth="1"/>
    <col min="4" max="4" width="9" style="49"/>
    <col min="5" max="5" width="15.75" style="49" bestFit="1" customWidth="1"/>
    <col min="6" max="6" width="10.5" style="49" customWidth="1"/>
    <col min="7" max="7" width="19.125" style="49" hidden="1" customWidth="1"/>
    <col min="8" max="8" width="20.125" style="59" customWidth="1"/>
  </cols>
  <sheetData>
    <row r="2" spans="2:9" ht="18" x14ac:dyDescent="0.25">
      <c r="B2" s="142" t="s">
        <v>18</v>
      </c>
      <c r="C2" s="143"/>
      <c r="D2" s="141"/>
      <c r="E2" s="54"/>
      <c r="F2" s="54"/>
    </row>
    <row r="3" spans="2:9" ht="15" x14ac:dyDescent="0.25">
      <c r="B3" s="52"/>
      <c r="C3" s="53"/>
      <c r="D3" s="54"/>
      <c r="E3" s="54"/>
      <c r="F3" s="54"/>
    </row>
    <row r="4" spans="2:9" x14ac:dyDescent="0.2">
      <c r="B4" s="137" t="s">
        <v>16</v>
      </c>
      <c r="C4" s="138" t="s">
        <v>17</v>
      </c>
      <c r="D4" s="139" t="s">
        <v>19</v>
      </c>
      <c r="E4" s="139" t="s">
        <v>20</v>
      </c>
      <c r="F4" s="139" t="s">
        <v>22</v>
      </c>
      <c r="G4" s="139" t="s">
        <v>39</v>
      </c>
      <c r="H4" s="140" t="s">
        <v>43</v>
      </c>
    </row>
    <row r="5" spans="2:9" x14ac:dyDescent="0.2">
      <c r="B5" s="51">
        <v>20201</v>
      </c>
      <c r="C5" t="s">
        <v>23</v>
      </c>
      <c r="D5" s="49">
        <v>2</v>
      </c>
      <c r="E5" s="58">
        <v>3200</v>
      </c>
      <c r="F5" s="49" t="s">
        <v>34</v>
      </c>
      <c r="G5" s="49" t="s">
        <v>40</v>
      </c>
      <c r="H5" s="59">
        <v>908122312121</v>
      </c>
      <c r="I5" s="49"/>
    </row>
    <row r="6" spans="2:9" x14ac:dyDescent="0.2">
      <c r="B6" s="51">
        <v>20202</v>
      </c>
      <c r="C6" t="s">
        <v>23</v>
      </c>
      <c r="D6" s="49">
        <v>3</v>
      </c>
      <c r="E6" s="58">
        <v>3200</v>
      </c>
      <c r="F6" s="49" t="s">
        <v>35</v>
      </c>
      <c r="G6" s="49" t="s">
        <v>41</v>
      </c>
      <c r="H6" s="59">
        <v>909012121221</v>
      </c>
    </row>
    <row r="7" spans="2:9" x14ac:dyDescent="0.2">
      <c r="B7" s="51">
        <v>20203</v>
      </c>
      <c r="C7" t="s">
        <v>23</v>
      </c>
      <c r="D7" s="49">
        <v>1</v>
      </c>
      <c r="E7" s="58">
        <v>3200</v>
      </c>
      <c r="F7" s="49" t="s">
        <v>33</v>
      </c>
      <c r="G7" s="49" t="s">
        <v>40</v>
      </c>
      <c r="H7" s="59">
        <v>905123712878</v>
      </c>
    </row>
    <row r="8" spans="2:9" x14ac:dyDescent="0.2">
      <c r="B8" s="51">
        <v>20204</v>
      </c>
      <c r="C8" t="s">
        <v>23</v>
      </c>
      <c r="D8" s="49">
        <v>6</v>
      </c>
      <c r="E8" s="58">
        <v>3200</v>
      </c>
      <c r="F8" s="49" t="s">
        <v>37</v>
      </c>
      <c r="G8" s="49" t="s">
        <v>40</v>
      </c>
      <c r="H8" s="59">
        <v>999992131311</v>
      </c>
    </row>
    <row r="9" spans="2:9" x14ac:dyDescent="0.2">
      <c r="B9" s="51">
        <v>20205</v>
      </c>
      <c r="C9" t="s">
        <v>23</v>
      </c>
      <c r="D9" s="49">
        <v>7</v>
      </c>
      <c r="E9" s="58">
        <v>3200</v>
      </c>
      <c r="F9" s="49" t="s">
        <v>36</v>
      </c>
      <c r="G9" s="49" t="s">
        <v>40</v>
      </c>
      <c r="H9" s="59">
        <v>956128179797</v>
      </c>
    </row>
    <row r="10" spans="2:9" x14ac:dyDescent="0.2">
      <c r="B10" s="51">
        <v>20206</v>
      </c>
      <c r="C10" t="s">
        <v>23</v>
      </c>
      <c r="D10" s="49">
        <v>4</v>
      </c>
      <c r="E10" s="58">
        <v>3200</v>
      </c>
      <c r="F10" s="49" t="s">
        <v>38</v>
      </c>
      <c r="G10" s="49" t="s">
        <v>41</v>
      </c>
      <c r="H10" s="59">
        <v>971233363444</v>
      </c>
    </row>
    <row r="11" spans="2:9" x14ac:dyDescent="0.2">
      <c r="B11" s="51">
        <v>20201</v>
      </c>
      <c r="C11" t="s">
        <v>24</v>
      </c>
      <c r="D11" s="49">
        <v>5</v>
      </c>
      <c r="E11" s="58">
        <v>2500</v>
      </c>
      <c r="F11" s="49" t="s">
        <v>34</v>
      </c>
      <c r="G11" s="49" t="s">
        <v>40</v>
      </c>
      <c r="H11" s="59">
        <v>908122312121</v>
      </c>
    </row>
    <row r="12" spans="2:9" x14ac:dyDescent="0.2">
      <c r="B12" s="51">
        <v>20201</v>
      </c>
      <c r="C12" t="s">
        <v>25</v>
      </c>
      <c r="D12" s="49">
        <v>1</v>
      </c>
      <c r="E12" s="58">
        <v>15000</v>
      </c>
      <c r="F12" s="49" t="s">
        <v>34</v>
      </c>
      <c r="G12" s="49" t="s">
        <v>40</v>
      </c>
      <c r="H12" s="59">
        <v>908122312121</v>
      </c>
    </row>
    <row r="13" spans="2:9" x14ac:dyDescent="0.2">
      <c r="B13" s="51">
        <v>20202</v>
      </c>
      <c r="C13" t="s">
        <v>26</v>
      </c>
      <c r="D13" s="49">
        <v>16</v>
      </c>
      <c r="E13" s="58">
        <v>2200</v>
      </c>
      <c r="F13" s="49" t="s">
        <v>35</v>
      </c>
      <c r="G13" s="49" t="s">
        <v>41</v>
      </c>
      <c r="H13" s="59">
        <v>909012121221</v>
      </c>
    </row>
    <row r="14" spans="2:9" x14ac:dyDescent="0.2">
      <c r="B14" s="51">
        <v>20202</v>
      </c>
      <c r="C14" t="s">
        <v>27</v>
      </c>
      <c r="D14" s="49">
        <v>20</v>
      </c>
      <c r="E14" s="58">
        <v>1200</v>
      </c>
      <c r="F14" s="49" t="s">
        <v>35</v>
      </c>
      <c r="G14" s="49" t="s">
        <v>41</v>
      </c>
      <c r="H14" s="59">
        <v>909012121221</v>
      </c>
    </row>
    <row r="15" spans="2:9" x14ac:dyDescent="0.2">
      <c r="B15" s="51">
        <v>20202</v>
      </c>
      <c r="C15" t="s">
        <v>28</v>
      </c>
      <c r="D15" s="49">
        <v>5</v>
      </c>
      <c r="E15" s="58">
        <v>2300</v>
      </c>
      <c r="F15" s="49" t="s">
        <v>35</v>
      </c>
      <c r="G15" s="49" t="s">
        <v>41</v>
      </c>
      <c r="H15" s="59">
        <v>909012121221</v>
      </c>
    </row>
    <row r="16" spans="2:9" x14ac:dyDescent="0.2">
      <c r="B16" s="51">
        <v>20204</v>
      </c>
      <c r="C16" t="s">
        <v>24</v>
      </c>
      <c r="D16" s="49">
        <v>15</v>
      </c>
      <c r="E16" s="58">
        <v>2500</v>
      </c>
      <c r="F16" s="49" t="s">
        <v>37</v>
      </c>
      <c r="G16" s="49" t="s">
        <v>40</v>
      </c>
      <c r="H16" s="59">
        <v>999992131311</v>
      </c>
    </row>
    <row r="17" spans="2:8" x14ac:dyDescent="0.2">
      <c r="B17" s="51">
        <v>20205</v>
      </c>
      <c r="C17" t="s">
        <v>25</v>
      </c>
      <c r="D17" s="49">
        <v>2</v>
      </c>
      <c r="E17" s="58">
        <v>15000</v>
      </c>
      <c r="F17" s="49" t="s">
        <v>36</v>
      </c>
      <c r="G17" s="49" t="s">
        <v>40</v>
      </c>
      <c r="H17" s="59">
        <v>956128179797</v>
      </c>
    </row>
    <row r="18" spans="2:8" x14ac:dyDescent="0.2">
      <c r="B18" s="51">
        <v>20205</v>
      </c>
      <c r="C18" t="s">
        <v>29</v>
      </c>
      <c r="D18" s="49">
        <v>13</v>
      </c>
      <c r="E18" s="58">
        <v>4000</v>
      </c>
      <c r="F18" s="49" t="s">
        <v>36</v>
      </c>
      <c r="G18" s="49" t="s">
        <v>40</v>
      </c>
      <c r="H18" s="59">
        <v>956128179797</v>
      </c>
    </row>
    <row r="19" spans="2:8" x14ac:dyDescent="0.2">
      <c r="B19" s="51">
        <v>20206</v>
      </c>
      <c r="C19" t="s">
        <v>29</v>
      </c>
      <c r="D19" s="49">
        <v>12</v>
      </c>
      <c r="E19" s="58">
        <v>4000</v>
      </c>
      <c r="F19" s="49" t="s">
        <v>38</v>
      </c>
      <c r="G19" s="49" t="s">
        <v>41</v>
      </c>
      <c r="H19" s="59">
        <v>971233363444</v>
      </c>
    </row>
    <row r="20" spans="2:8" x14ac:dyDescent="0.2">
      <c r="B20" s="51">
        <v>20206</v>
      </c>
      <c r="C20" t="s">
        <v>27</v>
      </c>
      <c r="D20" s="49">
        <v>50</v>
      </c>
      <c r="E20" s="58">
        <v>1200</v>
      </c>
      <c r="F20" s="49" t="s">
        <v>38</v>
      </c>
      <c r="G20" s="49" t="s">
        <v>41</v>
      </c>
      <c r="H20" s="59">
        <v>971233363444</v>
      </c>
    </row>
    <row r="21" spans="2:8" x14ac:dyDescent="0.2">
      <c r="B21" s="51">
        <v>20206</v>
      </c>
      <c r="C21" t="s">
        <v>25</v>
      </c>
      <c r="D21" s="49">
        <v>5</v>
      </c>
      <c r="E21" s="58">
        <v>15000</v>
      </c>
      <c r="F21" s="49" t="s">
        <v>38</v>
      </c>
      <c r="G21" s="49" t="s">
        <v>41</v>
      </c>
      <c r="H21" s="59">
        <v>971233363444</v>
      </c>
    </row>
    <row r="22" spans="2:8" x14ac:dyDescent="0.2">
      <c r="B22" s="51">
        <v>20206</v>
      </c>
      <c r="C22" t="s">
        <v>30</v>
      </c>
      <c r="D22" s="49">
        <v>10</v>
      </c>
      <c r="E22" s="58">
        <v>1800</v>
      </c>
      <c r="F22" s="49" t="s">
        <v>38</v>
      </c>
      <c r="G22" s="49" t="s">
        <v>41</v>
      </c>
      <c r="H22" s="59">
        <v>971233363444</v>
      </c>
    </row>
    <row r="23" spans="2:8" x14ac:dyDescent="0.2">
      <c r="B23" s="51">
        <v>20206</v>
      </c>
      <c r="C23" t="s">
        <v>31</v>
      </c>
      <c r="D23" s="49">
        <v>17</v>
      </c>
      <c r="E23" s="58">
        <v>2500</v>
      </c>
      <c r="F23" s="49" t="s">
        <v>38</v>
      </c>
      <c r="G23" s="49" t="s">
        <v>41</v>
      </c>
      <c r="H23" s="59">
        <v>971233363444</v>
      </c>
    </row>
    <row r="24" spans="2:8" x14ac:dyDescent="0.2">
      <c r="B24" s="51">
        <v>20206</v>
      </c>
      <c r="C24" t="s">
        <v>32</v>
      </c>
      <c r="D24" s="49">
        <v>22</v>
      </c>
      <c r="E24" s="58">
        <v>800</v>
      </c>
      <c r="F24" s="49" t="s">
        <v>38</v>
      </c>
      <c r="G24" s="49" t="s">
        <v>41</v>
      </c>
      <c r="H24" s="59">
        <v>971233363444</v>
      </c>
    </row>
    <row r="25" spans="2:8" x14ac:dyDescent="0.2">
      <c r="B25" s="51">
        <v>20201</v>
      </c>
      <c r="C25" t="s">
        <v>30</v>
      </c>
      <c r="D25" s="49">
        <v>20</v>
      </c>
      <c r="E25" s="58">
        <v>1800</v>
      </c>
      <c r="F25" s="49" t="s">
        <v>47</v>
      </c>
      <c r="G25" s="49" t="s">
        <v>40</v>
      </c>
      <c r="H25" s="59">
        <v>971233363444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EC6C-5FFF-4AFC-8744-BDEB1C19AC55}">
  <sheetPr codeName="Sheet3">
    <tabColor rgb="FFFF0000"/>
  </sheetPr>
  <dimension ref="B5:G21"/>
  <sheetViews>
    <sheetView showGridLines="0" zoomScale="123" zoomScaleNormal="123" workbookViewId="0">
      <pane ySplit="10" topLeftCell="A11" activePane="bottomLeft" state="frozen"/>
      <selection pane="bottomLeft" activeCell="F33" sqref="F33"/>
    </sheetView>
  </sheetViews>
  <sheetFormatPr defaultRowHeight="15" x14ac:dyDescent="0.25"/>
  <cols>
    <col min="1" max="1" width="9" style="105"/>
    <col min="2" max="2" width="15.625" style="105" customWidth="1"/>
    <col min="3" max="3" width="14.25" style="105" bestFit="1" customWidth="1"/>
    <col min="4" max="7" width="18.75" style="105" customWidth="1"/>
    <col min="8" max="16384" width="9" style="105"/>
  </cols>
  <sheetData>
    <row r="5" spans="2:7" ht="15.75" x14ac:dyDescent="0.25">
      <c r="B5" s="103" t="s">
        <v>78</v>
      </c>
      <c r="C5" s="104" t="s">
        <v>79</v>
      </c>
      <c r="E5" s="106" t="s">
        <v>80</v>
      </c>
    </row>
    <row r="6" spans="2:7" ht="15.75" x14ac:dyDescent="0.25">
      <c r="B6" s="103" t="s">
        <v>81</v>
      </c>
      <c r="C6" s="104" t="s">
        <v>82</v>
      </c>
      <c r="E6" s="170">
        <f>SUMIFS(_xlfn.XLOOKUP(C7,Table14[[#Headers],[Market-Market]:[Up-Town]],D11:G21),B11:B21,C5,C11:C21,C6)</f>
        <v>50009</v>
      </c>
    </row>
    <row r="7" spans="2:7" ht="15.75" x14ac:dyDescent="0.25">
      <c r="B7" s="103" t="s">
        <v>83</v>
      </c>
      <c r="C7" s="104" t="s">
        <v>63</v>
      </c>
      <c r="E7" s="171"/>
    </row>
    <row r="9" spans="2:7" x14ac:dyDescent="0.25">
      <c r="D9" s="172" t="s">
        <v>84</v>
      </c>
      <c r="E9" s="172"/>
      <c r="F9" s="172"/>
      <c r="G9" s="172"/>
    </row>
    <row r="10" spans="2:7" ht="15.75" x14ac:dyDescent="0.25">
      <c r="B10" s="107" t="s">
        <v>78</v>
      </c>
      <c r="C10" s="108" t="s">
        <v>81</v>
      </c>
      <c r="D10" s="108" t="s">
        <v>85</v>
      </c>
      <c r="E10" s="108" t="s">
        <v>86</v>
      </c>
      <c r="F10" s="108" t="s">
        <v>63</v>
      </c>
      <c r="G10" s="108" t="s">
        <v>87</v>
      </c>
    </row>
    <row r="11" spans="2:7" x14ac:dyDescent="0.25">
      <c r="B11" s="109" t="s">
        <v>88</v>
      </c>
      <c r="C11" s="109" t="s">
        <v>82</v>
      </c>
      <c r="D11" s="110">
        <v>50000</v>
      </c>
      <c r="E11" s="110">
        <v>60000</v>
      </c>
      <c r="F11" s="110">
        <v>35000</v>
      </c>
      <c r="G11" s="110">
        <v>25000</v>
      </c>
    </row>
    <row r="12" spans="2:7" x14ac:dyDescent="0.25">
      <c r="B12" s="109" t="s">
        <v>89</v>
      </c>
      <c r="C12" s="109" t="s">
        <v>90</v>
      </c>
      <c r="D12" s="110">
        <v>45000</v>
      </c>
      <c r="E12" s="110">
        <v>45001</v>
      </c>
      <c r="F12" s="110">
        <v>45002</v>
      </c>
      <c r="G12" s="110">
        <v>45003</v>
      </c>
    </row>
    <row r="13" spans="2:7" x14ac:dyDescent="0.25">
      <c r="B13" s="105" t="s">
        <v>79</v>
      </c>
      <c r="C13" s="105" t="s">
        <v>90</v>
      </c>
      <c r="D13" s="110">
        <v>3000</v>
      </c>
      <c r="E13" s="110">
        <v>3001</v>
      </c>
      <c r="F13" s="110">
        <v>3002</v>
      </c>
      <c r="G13" s="110">
        <v>3003</v>
      </c>
    </row>
    <row r="14" spans="2:7" x14ac:dyDescent="0.25">
      <c r="B14" s="105" t="s">
        <v>91</v>
      </c>
      <c r="C14" s="105" t="s">
        <v>92</v>
      </c>
      <c r="D14" s="110">
        <v>2500</v>
      </c>
      <c r="E14" s="110">
        <v>2501</v>
      </c>
      <c r="F14" s="110">
        <v>2502</v>
      </c>
      <c r="G14" s="110">
        <v>2503</v>
      </c>
    </row>
    <row r="15" spans="2:7" x14ac:dyDescent="0.25">
      <c r="B15" s="105" t="s">
        <v>93</v>
      </c>
      <c r="C15" s="105" t="s">
        <v>94</v>
      </c>
      <c r="D15" s="110">
        <v>5000</v>
      </c>
      <c r="E15" s="110">
        <v>5001</v>
      </c>
      <c r="F15" s="110">
        <v>5002</v>
      </c>
      <c r="G15" s="110">
        <v>5003</v>
      </c>
    </row>
    <row r="16" spans="2:7" x14ac:dyDescent="0.25">
      <c r="B16" s="105" t="s">
        <v>95</v>
      </c>
      <c r="C16" s="105" t="s">
        <v>94</v>
      </c>
      <c r="D16" s="110">
        <v>11000</v>
      </c>
      <c r="E16" s="110">
        <v>11001</v>
      </c>
      <c r="F16" s="110">
        <v>11002</v>
      </c>
      <c r="G16" s="110">
        <v>11003</v>
      </c>
    </row>
    <row r="17" spans="2:7" x14ac:dyDescent="0.25">
      <c r="B17" s="105" t="s">
        <v>88</v>
      </c>
      <c r="C17" s="105" t="s">
        <v>82</v>
      </c>
      <c r="D17" s="110">
        <v>25000</v>
      </c>
      <c r="E17" s="110">
        <v>25001</v>
      </c>
      <c r="F17" s="110">
        <v>25002</v>
      </c>
      <c r="G17" s="110">
        <v>25003</v>
      </c>
    </row>
    <row r="18" spans="2:7" x14ac:dyDescent="0.25">
      <c r="B18" s="105" t="s">
        <v>79</v>
      </c>
      <c r="C18" s="105" t="s">
        <v>96</v>
      </c>
      <c r="D18" s="110">
        <v>3500</v>
      </c>
      <c r="E18" s="110">
        <v>3500</v>
      </c>
      <c r="F18" s="110">
        <v>3500</v>
      </c>
      <c r="G18" s="110">
        <v>3500</v>
      </c>
    </row>
    <row r="19" spans="2:7" x14ac:dyDescent="0.25">
      <c r="B19" s="105" t="s">
        <v>79</v>
      </c>
      <c r="C19" s="105" t="s">
        <v>96</v>
      </c>
      <c r="D19" s="110">
        <v>4500</v>
      </c>
      <c r="E19" s="110">
        <v>4500</v>
      </c>
      <c r="F19" s="110">
        <v>4500</v>
      </c>
      <c r="G19" s="110">
        <v>4500</v>
      </c>
    </row>
    <row r="20" spans="2:7" x14ac:dyDescent="0.25">
      <c r="B20" s="105" t="s">
        <v>79</v>
      </c>
      <c r="C20" s="105" t="s">
        <v>82</v>
      </c>
      <c r="D20" s="110">
        <v>50009</v>
      </c>
      <c r="E20" s="110">
        <v>50009</v>
      </c>
      <c r="F20" s="110">
        <v>50009</v>
      </c>
      <c r="G20" s="110">
        <v>50009</v>
      </c>
    </row>
    <row r="21" spans="2:7" x14ac:dyDescent="0.25">
      <c r="B21" s="105" t="s">
        <v>95</v>
      </c>
      <c r="C21" s="105" t="s">
        <v>92</v>
      </c>
      <c r="D21" s="110">
        <v>8000</v>
      </c>
      <c r="E21" s="110">
        <v>8000</v>
      </c>
      <c r="F21" s="110">
        <v>8000</v>
      </c>
      <c r="G21" s="110">
        <v>8000</v>
      </c>
    </row>
  </sheetData>
  <mergeCells count="2">
    <mergeCell ref="E6:E7"/>
    <mergeCell ref="D9:G9"/>
  </mergeCells>
  <conditionalFormatting sqref="B13:C21 B22:G24">
    <cfRule type="expression" dxfId="3" priority="2">
      <formula>$B13&lt;&gt;""</formula>
    </cfRule>
  </conditionalFormatting>
  <conditionalFormatting sqref="B11:G21">
    <cfRule type="expression" dxfId="2" priority="1">
      <formula>$C$5=$B11</formula>
    </cfRule>
  </conditionalFormatting>
  <dataValidations count="3">
    <dataValidation type="list" allowBlank="1" showInputMessage="1" showErrorMessage="1" sqref="C7" xr:uid="{1189B1F5-CEA2-431D-A81A-4A3392AB21FE}">
      <formula1>$D$10:$G$10</formula1>
    </dataValidation>
    <dataValidation type="list" allowBlank="1" showInputMessage="1" showErrorMessage="1" sqref="C6" xr:uid="{8DE1C023-697B-4322-B8A1-455157165B40}">
      <formula1>$C$11:$C$21</formula1>
    </dataValidation>
    <dataValidation type="list" allowBlank="1" showInputMessage="1" showErrorMessage="1" sqref="C5" xr:uid="{EFB9C276-4797-4E11-AF6E-7384C97CE98D}">
      <formula1>$B$11:$B$21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42FC-E1BB-4DB6-885B-B6658FB95F27}">
  <sheetPr codeName="Sheet2"/>
  <dimension ref="B3:K20"/>
  <sheetViews>
    <sheetView showGridLines="0" zoomScale="160" zoomScaleNormal="160" workbookViewId="0">
      <selection activeCell="G22" sqref="G22"/>
    </sheetView>
  </sheetViews>
  <sheetFormatPr defaultRowHeight="14.25" x14ac:dyDescent="0.2"/>
  <cols>
    <col min="2" max="2" width="9" style="51"/>
    <col min="3" max="3" width="11.5" bestFit="1" customWidth="1"/>
    <col min="4" max="4" width="13.625" style="49" bestFit="1" customWidth="1"/>
    <col min="5" max="5" width="11" style="49" customWidth="1"/>
    <col min="9" max="9" width="11.5" bestFit="1" customWidth="1"/>
  </cols>
  <sheetData>
    <row r="3" spans="2:11" ht="18" x14ac:dyDescent="0.25">
      <c r="B3" s="90" t="s">
        <v>73</v>
      </c>
      <c r="H3" s="82" t="s">
        <v>71</v>
      </c>
      <c r="I3" s="83"/>
      <c r="J3" s="84"/>
      <c r="K3" s="84"/>
    </row>
    <row r="5" spans="2:11" ht="15" x14ac:dyDescent="0.25">
      <c r="B5" s="79" t="s">
        <v>59</v>
      </c>
      <c r="C5" s="80" t="s">
        <v>61</v>
      </c>
      <c r="D5" s="81" t="s">
        <v>68</v>
      </c>
      <c r="E5" s="81" t="s">
        <v>60</v>
      </c>
      <c r="H5" s="79" t="s">
        <v>59</v>
      </c>
      <c r="I5" s="80" t="s">
        <v>61</v>
      </c>
      <c r="J5" s="81" t="s">
        <v>68</v>
      </c>
      <c r="K5" s="80" t="s">
        <v>60</v>
      </c>
    </row>
    <row r="6" spans="2:11" ht="15" x14ac:dyDescent="0.25">
      <c r="B6" s="85">
        <v>1001</v>
      </c>
      <c r="C6" s="86" t="s">
        <v>63</v>
      </c>
      <c r="D6" s="87">
        <v>280</v>
      </c>
      <c r="E6" s="87" t="s">
        <v>70</v>
      </c>
      <c r="H6" s="91">
        <v>1011</v>
      </c>
      <c r="I6" s="92" t="s">
        <v>77</v>
      </c>
      <c r="J6" s="93">
        <v>99</v>
      </c>
      <c r="K6" s="93" t="s">
        <v>69</v>
      </c>
    </row>
    <row r="7" spans="2:11" ht="15" x14ac:dyDescent="0.25">
      <c r="B7" s="85">
        <v>1002</v>
      </c>
      <c r="C7" s="86" t="s">
        <v>66</v>
      </c>
      <c r="D7" s="87">
        <v>78</v>
      </c>
      <c r="E7" s="87" t="s">
        <v>70</v>
      </c>
      <c r="H7" s="97">
        <v>1009</v>
      </c>
      <c r="I7" s="92" t="s">
        <v>75</v>
      </c>
      <c r="J7" s="93">
        <v>670</v>
      </c>
      <c r="K7" s="98" t="s">
        <v>69</v>
      </c>
    </row>
    <row r="8" spans="2:11" ht="15" x14ac:dyDescent="0.25">
      <c r="B8" s="96">
        <v>1004</v>
      </c>
      <c r="C8" s="88" t="s">
        <v>65</v>
      </c>
      <c r="D8" s="89">
        <v>160</v>
      </c>
      <c r="E8" s="89" t="s">
        <v>70</v>
      </c>
      <c r="H8" s="99">
        <v>1006</v>
      </c>
      <c r="I8" s="100" t="s">
        <v>72</v>
      </c>
      <c r="J8" s="101">
        <v>277</v>
      </c>
      <c r="K8" s="101" t="s">
        <v>69</v>
      </c>
    </row>
    <row r="9" spans="2:11" ht="15" x14ac:dyDescent="0.25">
      <c r="B9" s="96">
        <v>1005</v>
      </c>
      <c r="C9" s="88" t="s">
        <v>62</v>
      </c>
      <c r="D9" s="89">
        <v>131</v>
      </c>
      <c r="E9" s="89" t="s">
        <v>70</v>
      </c>
      <c r="H9" s="91">
        <v>1003</v>
      </c>
      <c r="I9" s="102" t="s">
        <v>67</v>
      </c>
      <c r="J9" s="98">
        <v>31</v>
      </c>
      <c r="K9" s="98" t="s">
        <v>69</v>
      </c>
    </row>
    <row r="10" spans="2:11" ht="15" x14ac:dyDescent="0.25">
      <c r="B10" s="96">
        <v>1007</v>
      </c>
      <c r="C10" s="86" t="s">
        <v>64</v>
      </c>
      <c r="D10" s="87">
        <v>566</v>
      </c>
      <c r="E10" s="89" t="s">
        <v>70</v>
      </c>
      <c r="H10" s="99">
        <v>1008</v>
      </c>
      <c r="I10" s="94" t="s">
        <v>74</v>
      </c>
      <c r="J10" s="95">
        <v>900</v>
      </c>
      <c r="K10" s="101" t="s">
        <v>69</v>
      </c>
    </row>
    <row r="11" spans="2:11" ht="15" x14ac:dyDescent="0.25">
      <c r="B11" s="96">
        <v>1010</v>
      </c>
      <c r="C11" s="86" t="s">
        <v>76</v>
      </c>
      <c r="D11" s="87">
        <v>540</v>
      </c>
      <c r="E11" s="89" t="s">
        <v>70</v>
      </c>
    </row>
    <row r="20" spans="5:5" x14ac:dyDescent="0.2">
      <c r="E20"/>
    </row>
  </sheetData>
  <conditionalFormatting sqref="E6:E11">
    <cfRule type="containsText" dxfId="1" priority="6" operator="containsText" text="Shipped">
      <formula>NOT(ISERROR(SEARCH("Shipped",E6)))</formula>
    </cfRule>
  </conditionalFormatting>
  <conditionalFormatting sqref="K6:K10">
    <cfRule type="containsText" dxfId="0" priority="1" operator="containsText" text="Shipped">
      <formula>NOT(ISERROR(SEARCH("Shipped",K6)))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6" r:id="rId3" name="CommandButton1">
          <controlPr defaultSize="0" autoLine="0" r:id="rId4">
            <anchor moveWithCells="1">
              <from>
                <xdr:col>3</xdr:col>
                <xdr:colOff>180975</xdr:colOff>
                <xdr:row>2</xdr:row>
                <xdr:rowOff>38100</xdr:rowOff>
              </from>
              <to>
                <xdr:col>4</xdr:col>
                <xdr:colOff>304800</xdr:colOff>
                <xdr:row>3</xdr:row>
                <xdr:rowOff>95250</xdr:rowOff>
              </to>
            </anchor>
          </controlPr>
        </control>
      </mc:Choice>
      <mc:Fallback>
        <control shapeId="3076" r:id="rId3" name="CommandButton1"/>
      </mc:Fallback>
    </mc:AlternateContent>
  </controls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E70E-979F-44B6-A5B0-0A8D464ED957}">
  <sheetPr codeName="Sheet31">
    <tabColor theme="4" tint="0.59999389629810485"/>
  </sheetPr>
  <dimension ref="B1:I44"/>
  <sheetViews>
    <sheetView showGridLines="0" zoomScale="142" zoomScaleNormal="142" workbookViewId="0">
      <selection activeCell="H19" sqref="H19"/>
    </sheetView>
  </sheetViews>
  <sheetFormatPr defaultColWidth="9" defaultRowHeight="15" x14ac:dyDescent="0.25"/>
  <cols>
    <col min="1" max="1" width="3.75" style="1" customWidth="1"/>
    <col min="2" max="2" width="40.75" style="60" customWidth="1"/>
    <col min="3" max="3" width="10.75" style="1" customWidth="1"/>
    <col min="4" max="4" width="5.75" style="1" customWidth="1"/>
    <col min="5" max="5" width="18.75" style="1" customWidth="1"/>
    <col min="6" max="6" width="25" style="1" bestFit="1" customWidth="1"/>
    <col min="7" max="7" width="3.75" style="1" customWidth="1"/>
    <col min="8" max="8" width="29" style="1" customWidth="1"/>
    <col min="9" max="16384" width="9" style="1"/>
  </cols>
  <sheetData>
    <row r="1" spans="2:9" ht="30" customHeight="1" x14ac:dyDescent="0.25"/>
    <row r="2" spans="2:9" ht="46.5" customHeight="1" x14ac:dyDescent="0.7">
      <c r="B2" s="2" t="s">
        <v>45</v>
      </c>
      <c r="C2" s="3"/>
      <c r="E2" s="174" t="s">
        <v>0</v>
      </c>
      <c r="F2" s="174"/>
    </row>
    <row r="3" spans="2:9" ht="15" customHeight="1" x14ac:dyDescent="0.25">
      <c r="B3" s="4" t="s">
        <v>14</v>
      </c>
      <c r="C3" s="5"/>
      <c r="D3" s="6"/>
      <c r="E3" s="6"/>
      <c r="F3" s="6"/>
      <c r="H3" s="7"/>
      <c r="I3" s="8"/>
    </row>
    <row r="4" spans="2:9" ht="15" customHeight="1" x14ac:dyDescent="0.25">
      <c r="B4" s="4" t="s">
        <v>15</v>
      </c>
      <c r="C4" s="9"/>
      <c r="D4" s="6"/>
      <c r="E4" s="6"/>
      <c r="F4" s="6"/>
      <c r="H4" s="10"/>
      <c r="I4" s="10"/>
    </row>
    <row r="5" spans="2:9" ht="15" customHeight="1" x14ac:dyDescent="0.25">
      <c r="B5" s="4" t="s">
        <v>1</v>
      </c>
      <c r="C5" s="11"/>
      <c r="D5" s="12"/>
      <c r="H5" s="13"/>
    </row>
    <row r="6" spans="2:9" ht="15" customHeight="1" x14ac:dyDescent="0.25">
      <c r="B6" s="14"/>
      <c r="C6" s="9"/>
      <c r="D6" s="15"/>
      <c r="H6" s="13"/>
    </row>
    <row r="7" spans="2:9" ht="15" customHeight="1" x14ac:dyDescent="0.25">
      <c r="B7" s="175" t="s">
        <v>21</v>
      </c>
      <c r="C7" s="175"/>
      <c r="D7" s="12"/>
      <c r="E7" s="16" t="s">
        <v>2</v>
      </c>
      <c r="F7" s="16" t="s">
        <v>3</v>
      </c>
      <c r="H7" s="13"/>
    </row>
    <row r="8" spans="2:9" ht="15" customHeight="1" x14ac:dyDescent="0.25">
      <c r="B8" s="17" t="str">
        <f>IFERROR(_xlfn.XLOOKUP(E8,'Customer Data'!B:B,'Customer Data'!F:F),"")</f>
        <v>Andrea</v>
      </c>
      <c r="C8" s="11"/>
      <c r="D8" s="18"/>
      <c r="E8" s="4">
        <v>20202</v>
      </c>
      <c r="F8" s="19">
        <f ca="1">TODAY()</f>
        <v>46276</v>
      </c>
      <c r="H8" s="13"/>
    </row>
    <row r="9" spans="2:9" ht="15" customHeight="1" x14ac:dyDescent="0.25">
      <c r="B9" s="17"/>
      <c r="C9" s="11"/>
      <c r="D9" s="9"/>
      <c r="E9" s="4"/>
      <c r="F9" s="19"/>
      <c r="H9" s="6"/>
    </row>
    <row r="10" spans="2:9" ht="15" customHeight="1" x14ac:dyDescent="0.25">
      <c r="B10" s="17"/>
      <c r="C10" s="11"/>
      <c r="D10" s="9"/>
      <c r="E10" s="16" t="s">
        <v>44</v>
      </c>
      <c r="F10" s="16" t="s">
        <v>42</v>
      </c>
      <c r="H10" s="6"/>
    </row>
    <row r="11" spans="2:9" ht="15" customHeight="1" x14ac:dyDescent="0.25">
      <c r="B11" s="17"/>
      <c r="C11" s="11"/>
      <c r="D11" s="9"/>
      <c r="E11" s="20">
        <f>IFERROR(_xlfn.XLOOKUP(E8,'Customer Data'!B:B,'Customer Data'!H:H),"")</f>
        <v>909012121221</v>
      </c>
      <c r="F11" s="20" t="str">
        <f>IFERROR(_xlfn.XLOOKUP(E8,'Customer Data'!B:B,'Customer Data'!G:G),"")</f>
        <v>Cash</v>
      </c>
      <c r="H11" s="21"/>
    </row>
    <row r="12" spans="2:9" ht="15" customHeight="1" x14ac:dyDescent="0.25">
      <c r="B12" s="17"/>
      <c r="C12" s="11"/>
      <c r="D12" s="9"/>
      <c r="E12" s="9"/>
      <c r="F12" s="9"/>
      <c r="H12" s="13"/>
    </row>
    <row r="13" spans="2:9" ht="15" customHeight="1" x14ac:dyDescent="0.25">
      <c r="B13" s="22"/>
      <c r="C13" s="9"/>
      <c r="D13" s="9"/>
      <c r="E13" s="9"/>
      <c r="F13" s="9"/>
      <c r="H13" s="13"/>
    </row>
    <row r="14" spans="2:9" ht="15" customHeight="1" x14ac:dyDescent="0.25">
      <c r="B14" s="17"/>
      <c r="C14" s="11"/>
      <c r="D14" s="9"/>
      <c r="E14" s="9"/>
      <c r="F14" s="9"/>
      <c r="H14" s="13"/>
    </row>
    <row r="15" spans="2:9" ht="19.899999999999999" customHeight="1" x14ac:dyDescent="0.25">
      <c r="B15" s="16" t="s">
        <v>13</v>
      </c>
      <c r="C15" s="16"/>
      <c r="D15" s="23" t="s">
        <v>4</v>
      </c>
      <c r="E15" s="23" t="s">
        <v>5</v>
      </c>
      <c r="F15" s="23" t="s">
        <v>6</v>
      </c>
      <c r="H15" s="24"/>
    </row>
    <row r="16" spans="2:9" ht="19.899999999999999" customHeight="1" x14ac:dyDescent="0.25">
      <c r="B16" s="25" cm="1">
        <f t="array" ref="B16:E19">_xlfn._xlws.FILTER('Customer Data'!B5:E25,'Customer Data'!B5:B25=FILTER!E8)</f>
        <v>20202</v>
      </c>
      <c r="C16" s="26" t="str">
        <v>Cookware Set</v>
      </c>
      <c r="D16" s="27">
        <v>3</v>
      </c>
      <c r="E16" s="28">
        <v>3200</v>
      </c>
      <c r="F16" s="29">
        <f>IF(D16="",ROUND(1*E16,2),ROUND(D16*E16,2))</f>
        <v>9600</v>
      </c>
      <c r="H16" s="13"/>
    </row>
    <row r="17" spans="2:8" ht="19.899999999999999" customHeight="1" x14ac:dyDescent="0.25">
      <c r="B17" s="30">
        <v>20202</v>
      </c>
      <c r="C17" s="31" t="str">
        <v>Foldable Table</v>
      </c>
      <c r="D17" s="32">
        <v>16</v>
      </c>
      <c r="E17" s="33">
        <v>2200</v>
      </c>
      <c r="F17" s="34">
        <f t="shared" ref="F17:F30" si="0">IF(D17="",ROUND(1*E17,2),ROUND(D17*E17,2))</f>
        <v>35200</v>
      </c>
      <c r="H17" s="13"/>
    </row>
    <row r="18" spans="2:8" ht="19.899999999999999" customHeight="1" x14ac:dyDescent="0.25">
      <c r="B18" s="60">
        <v>20202</v>
      </c>
      <c r="C18" s="31" t="str">
        <v>Lamp</v>
      </c>
      <c r="D18" s="32">
        <v>20</v>
      </c>
      <c r="E18" s="33">
        <v>1200</v>
      </c>
      <c r="F18" s="34">
        <f t="shared" si="0"/>
        <v>24000</v>
      </c>
      <c r="H18" s="13"/>
    </row>
    <row r="19" spans="2:8" ht="19.899999999999999" customHeight="1" x14ac:dyDescent="0.25">
      <c r="B19" s="30">
        <v>20202</v>
      </c>
      <c r="C19" s="31" t="str">
        <v>Outdoor Firepit</v>
      </c>
      <c r="D19" s="32">
        <v>5</v>
      </c>
      <c r="E19" s="33">
        <v>2300</v>
      </c>
      <c r="F19" s="34">
        <f t="shared" si="0"/>
        <v>11500</v>
      </c>
      <c r="H19" s="24"/>
    </row>
    <row r="20" spans="2:8" ht="19.899999999999999" customHeight="1" x14ac:dyDescent="0.25">
      <c r="B20" s="30"/>
      <c r="C20" s="31"/>
      <c r="D20" s="32"/>
      <c r="E20" s="33"/>
      <c r="F20" s="34">
        <f t="shared" si="0"/>
        <v>0</v>
      </c>
      <c r="H20" s="24"/>
    </row>
    <row r="21" spans="2:8" ht="19.899999999999999" customHeight="1" x14ac:dyDescent="0.25">
      <c r="B21" s="30"/>
      <c r="C21" s="31"/>
      <c r="D21" s="32"/>
      <c r="E21" s="33"/>
      <c r="F21" s="34">
        <f t="shared" si="0"/>
        <v>0</v>
      </c>
      <c r="H21" s="24"/>
    </row>
    <row r="22" spans="2:8" ht="19.899999999999999" customHeight="1" x14ac:dyDescent="0.25">
      <c r="B22" s="30"/>
      <c r="C22" s="31"/>
      <c r="D22" s="32"/>
      <c r="E22" s="33"/>
      <c r="F22" s="34">
        <f t="shared" si="0"/>
        <v>0</v>
      </c>
      <c r="H22" s="24"/>
    </row>
    <row r="23" spans="2:8" ht="19.899999999999999" customHeight="1" x14ac:dyDescent="0.25">
      <c r="B23" s="30"/>
      <c r="C23" s="31"/>
      <c r="D23" s="32"/>
      <c r="E23" s="33"/>
      <c r="F23" s="34">
        <f t="shared" si="0"/>
        <v>0</v>
      </c>
      <c r="H23" s="24"/>
    </row>
    <row r="24" spans="2:8" ht="19.899999999999999" customHeight="1" x14ac:dyDescent="0.25">
      <c r="B24" s="30"/>
      <c r="C24" s="31"/>
      <c r="D24" s="32"/>
      <c r="E24" s="33"/>
      <c r="F24" s="34">
        <f t="shared" si="0"/>
        <v>0</v>
      </c>
      <c r="H24" s="24"/>
    </row>
    <row r="25" spans="2:8" ht="19.899999999999999" customHeight="1" x14ac:dyDescent="0.25">
      <c r="B25" s="30"/>
      <c r="C25" s="31"/>
      <c r="D25" s="32"/>
      <c r="E25" s="33"/>
      <c r="F25" s="34">
        <f t="shared" si="0"/>
        <v>0</v>
      </c>
    </row>
    <row r="26" spans="2:8" ht="19.899999999999999" customHeight="1" x14ac:dyDescent="0.25">
      <c r="B26" s="30"/>
      <c r="C26" s="31"/>
      <c r="D26" s="32"/>
      <c r="E26" s="33"/>
      <c r="F26" s="34">
        <f t="shared" si="0"/>
        <v>0</v>
      </c>
    </row>
    <row r="27" spans="2:8" ht="19.899999999999999" customHeight="1" x14ac:dyDescent="0.25">
      <c r="B27" s="30"/>
      <c r="C27" s="31"/>
      <c r="D27" s="32"/>
      <c r="E27" s="33"/>
      <c r="F27" s="34">
        <f t="shared" si="0"/>
        <v>0</v>
      </c>
      <c r="H27" s="24"/>
    </row>
    <row r="28" spans="2:8" ht="19.899999999999999" customHeight="1" x14ac:dyDescent="0.25">
      <c r="B28" s="30"/>
      <c r="C28" s="31"/>
      <c r="D28" s="32"/>
      <c r="E28" s="33"/>
      <c r="F28" s="34">
        <f t="shared" si="0"/>
        <v>0</v>
      </c>
      <c r="H28" s="24"/>
    </row>
    <row r="29" spans="2:8" ht="19.899999999999999" customHeight="1" x14ac:dyDescent="0.25">
      <c r="B29" s="30"/>
      <c r="C29" s="31"/>
      <c r="D29" s="32"/>
      <c r="E29" s="33"/>
      <c r="F29" s="34">
        <f t="shared" si="0"/>
        <v>0</v>
      </c>
      <c r="H29" s="24"/>
    </row>
    <row r="30" spans="2:8" ht="19.899999999999999" customHeight="1" x14ac:dyDescent="0.25">
      <c r="B30" s="35"/>
      <c r="C30" s="36"/>
      <c r="D30" s="32"/>
      <c r="E30" s="37"/>
      <c r="F30" s="38">
        <f t="shared" si="0"/>
        <v>0</v>
      </c>
      <c r="H30" s="24"/>
    </row>
    <row r="31" spans="2:8" s="40" customFormat="1" ht="19.899999999999999" customHeight="1" x14ac:dyDescent="0.2">
      <c r="B31" s="176" t="s">
        <v>7</v>
      </c>
      <c r="C31" s="176"/>
      <c r="D31" s="177" t="s">
        <v>8</v>
      </c>
      <c r="E31" s="177"/>
      <c r="F31" s="39">
        <f>SUM(F16:F30)</f>
        <v>80300</v>
      </c>
      <c r="H31" s="13"/>
    </row>
    <row r="32" spans="2:8" ht="19.899999999999999" customHeight="1" x14ac:dyDescent="0.25">
      <c r="B32" s="14"/>
      <c r="C32" s="6"/>
      <c r="D32" s="177" t="s">
        <v>9</v>
      </c>
      <c r="E32" s="177"/>
      <c r="F32" s="41">
        <v>4.2500000000000003E-2</v>
      </c>
      <c r="H32" s="13"/>
    </row>
    <row r="33" spans="2:8" ht="19.899999999999999" customHeight="1" x14ac:dyDescent="0.25">
      <c r="B33" s="14"/>
      <c r="C33" s="6"/>
      <c r="D33" s="14" t="s">
        <v>10</v>
      </c>
      <c r="E33" s="14"/>
      <c r="F33" s="39">
        <f>F31*F32</f>
        <v>3412.7500000000005</v>
      </c>
      <c r="H33" s="13"/>
    </row>
    <row r="34" spans="2:8" ht="30" customHeight="1" x14ac:dyDescent="0.25">
      <c r="B34" s="42"/>
      <c r="C34" s="43"/>
      <c r="D34" s="44" t="s">
        <v>11</v>
      </c>
      <c r="E34" s="45"/>
      <c r="F34" s="63">
        <f>F31+F33</f>
        <v>83712.75</v>
      </c>
      <c r="H34" s="13"/>
    </row>
    <row r="35" spans="2:8" ht="19.899999999999999" customHeight="1" x14ac:dyDescent="0.25">
      <c r="B35" s="61"/>
      <c r="C35" s="6"/>
      <c r="D35" s="46"/>
      <c r="E35" s="46"/>
      <c r="F35" s="46"/>
      <c r="H35" s="13"/>
    </row>
    <row r="36" spans="2:8" ht="19.899999999999999" customHeight="1" x14ac:dyDescent="0.25">
      <c r="B36" s="62"/>
      <c r="C36" s="6"/>
      <c r="D36" s="6"/>
      <c r="E36" s="6"/>
      <c r="F36" s="6"/>
      <c r="H36" s="13"/>
    </row>
    <row r="37" spans="2:8" ht="19.899999999999999" customHeight="1" x14ac:dyDescent="0.25">
      <c r="B37" s="178" t="s">
        <v>12</v>
      </c>
      <c r="C37" s="178"/>
      <c r="D37" s="178"/>
      <c r="E37" s="178"/>
      <c r="F37" s="178"/>
      <c r="H37" s="24"/>
    </row>
    <row r="38" spans="2:8" ht="19.899999999999999" customHeight="1" x14ac:dyDescent="0.25">
      <c r="B38" s="173" t="s">
        <v>46</v>
      </c>
      <c r="C38" s="173"/>
      <c r="D38" s="173"/>
      <c r="E38" s="173"/>
      <c r="F38" s="173"/>
      <c r="H38" s="13"/>
    </row>
    <row r="39" spans="2:8" ht="19.899999999999999" customHeight="1" x14ac:dyDescent="0.25">
      <c r="H39" s="47"/>
    </row>
    <row r="40" spans="2:8" ht="19.899999999999999" customHeight="1" x14ac:dyDescent="0.25"/>
    <row r="41" spans="2:8" ht="19.899999999999999" customHeight="1" x14ac:dyDescent="0.25"/>
    <row r="42" spans="2:8" ht="19.899999999999999" customHeight="1" x14ac:dyDescent="0.25"/>
    <row r="43" spans="2:8" ht="19.899999999999999" customHeight="1" x14ac:dyDescent="0.25"/>
    <row r="44" spans="2:8" ht="19.899999999999999" customHeight="1" x14ac:dyDescent="0.25"/>
  </sheetData>
  <mergeCells count="7">
    <mergeCell ref="B38:F38"/>
    <mergeCell ref="E2:F2"/>
    <mergeCell ref="B7:C7"/>
    <mergeCell ref="B31:C31"/>
    <mergeCell ref="D31:E31"/>
    <mergeCell ref="D32:E32"/>
    <mergeCell ref="B37:F37"/>
  </mergeCells>
  <dataValidations count="1">
    <dataValidation type="list" allowBlank="1" showInputMessage="1" showErrorMessage="1" sqref="E2" xr:uid="{175917C9-C06D-4B1C-A030-7E1692D3C9AB}">
      <formula1>"INVOICE,RECEIPT"</formula1>
    </dataValidation>
  </dataValidations>
  <printOptions horizontalCentered="1"/>
  <pageMargins left="0.5" right="0.5" top="0.5" bottom="0.5" header="0.5" footer="0.25"/>
  <pageSetup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1BCFE1-97FC-4C08-B42F-97D187FE54A2}">
          <x14:formula1>
            <xm:f>'Customer Data'!$B:$B</xm:f>
          </x14:formula1>
          <xm:sqref>E8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B33B-B680-4542-9FA1-13C4480F2BAD}">
  <sheetPr codeName="Sheet1">
    <tabColor theme="9" tint="-0.249977111117893"/>
  </sheetPr>
  <dimension ref="A1:H28"/>
  <sheetViews>
    <sheetView showGridLines="0" zoomScale="120" zoomScaleNormal="120" workbookViewId="0">
      <selection activeCell="G23" sqref="G23"/>
    </sheetView>
  </sheetViews>
  <sheetFormatPr defaultRowHeight="14.25" x14ac:dyDescent="0.2"/>
  <cols>
    <col min="2" max="2" width="13.75" customWidth="1"/>
    <col min="3" max="3" width="16.375" customWidth="1"/>
    <col min="5" max="5" width="15" bestFit="1" customWidth="1"/>
    <col min="6" max="6" width="10.25" customWidth="1"/>
    <col min="7" max="7" width="15.125" bestFit="1" customWidth="1"/>
    <col min="8" max="8" width="21.25" customWidth="1"/>
  </cols>
  <sheetData>
    <row r="1" spans="1:8" x14ac:dyDescent="0.2">
      <c r="A1" t="s">
        <v>138</v>
      </c>
    </row>
    <row r="3" spans="1:8" s="65" customFormat="1" ht="30" customHeight="1" x14ac:dyDescent="0.2">
      <c r="B3" s="64"/>
    </row>
    <row r="5" spans="1:8" ht="18" x14ac:dyDescent="0.25">
      <c r="B5" s="66" t="s">
        <v>18</v>
      </c>
    </row>
    <row r="7" spans="1:8" s="65" customFormat="1" ht="19.899999999999999" customHeight="1" x14ac:dyDescent="0.2">
      <c r="B7" s="67" t="s">
        <v>16</v>
      </c>
      <c r="C7" s="67" t="s">
        <v>17</v>
      </c>
      <c r="D7" s="67" t="s">
        <v>19</v>
      </c>
      <c r="E7" s="67" t="s">
        <v>20</v>
      </c>
      <c r="F7" s="67" t="s">
        <v>22</v>
      </c>
      <c r="G7" s="67" t="s">
        <v>39</v>
      </c>
      <c r="H7" s="68" t="s">
        <v>43</v>
      </c>
    </row>
    <row r="8" spans="1:8" x14ac:dyDescent="0.2">
      <c r="B8" s="49"/>
      <c r="C8" s="49" t="str" cm="1">
        <f t="array" ref="C8">_xlfn._xlws.FILTER(array,inv=A1,"not found")</f>
        <v>not found</v>
      </c>
      <c r="D8" s="49"/>
      <c r="E8" s="58"/>
      <c r="F8" s="49"/>
      <c r="G8" s="49"/>
      <c r="H8" s="49"/>
    </row>
    <row r="9" spans="1:8" x14ac:dyDescent="0.2">
      <c r="B9" s="49"/>
      <c r="C9" s="49"/>
      <c r="D9" s="49"/>
      <c r="E9" s="58"/>
      <c r="F9" s="49"/>
      <c r="G9" s="49"/>
      <c r="H9" s="49"/>
    </row>
    <row r="10" spans="1:8" x14ac:dyDescent="0.2">
      <c r="B10" s="49"/>
      <c r="C10" s="49"/>
      <c r="D10" s="49"/>
      <c r="E10" s="58"/>
      <c r="F10" s="49"/>
      <c r="G10" s="49"/>
      <c r="H10" s="49"/>
    </row>
    <row r="11" spans="1:8" x14ac:dyDescent="0.2">
      <c r="B11" s="49"/>
      <c r="C11" s="49"/>
      <c r="D11" s="49"/>
      <c r="E11" s="58"/>
      <c r="F11" s="49"/>
      <c r="G11" s="49"/>
      <c r="H11" s="49"/>
    </row>
    <row r="12" spans="1:8" x14ac:dyDescent="0.2">
      <c r="B12" s="49"/>
      <c r="C12" s="49"/>
      <c r="D12" s="49"/>
      <c r="E12" s="58"/>
      <c r="F12" s="49"/>
      <c r="G12" s="49"/>
      <c r="H12" s="49"/>
    </row>
    <row r="13" spans="1:8" x14ac:dyDescent="0.2">
      <c r="B13" s="49"/>
      <c r="C13" s="49"/>
      <c r="D13" s="49"/>
      <c r="E13" s="58"/>
      <c r="F13" s="49"/>
      <c r="G13" s="49"/>
      <c r="H13" s="49"/>
    </row>
    <row r="14" spans="1:8" x14ac:dyDescent="0.2">
      <c r="B14" s="49"/>
      <c r="C14" s="49"/>
      <c r="D14" s="49"/>
      <c r="E14" s="58"/>
      <c r="F14" s="49"/>
      <c r="G14" s="49"/>
      <c r="H14" s="49"/>
    </row>
    <row r="15" spans="1:8" x14ac:dyDescent="0.2">
      <c r="B15" s="49"/>
      <c r="C15" s="49"/>
      <c r="D15" s="49"/>
      <c r="E15" s="58"/>
      <c r="F15" s="49"/>
      <c r="G15" s="49"/>
      <c r="H15" s="49"/>
    </row>
    <row r="16" spans="1:8" x14ac:dyDescent="0.2">
      <c r="B16" s="49"/>
      <c r="C16" s="49"/>
      <c r="D16" s="49"/>
      <c r="E16" s="58"/>
      <c r="F16" s="49"/>
      <c r="G16" s="49"/>
      <c r="H16" s="49"/>
    </row>
    <row r="17" spans="2:8" x14ac:dyDescent="0.2">
      <c r="B17" s="49"/>
      <c r="C17" s="49"/>
      <c r="D17" s="49"/>
      <c r="E17" s="58"/>
      <c r="F17" s="49"/>
      <c r="G17" s="49"/>
      <c r="H17" s="49"/>
    </row>
    <row r="18" spans="2:8" x14ac:dyDescent="0.2">
      <c r="B18" s="49"/>
      <c r="C18" s="49"/>
      <c r="D18" s="49"/>
      <c r="E18" s="58"/>
      <c r="F18" s="49"/>
      <c r="G18" s="49"/>
      <c r="H18" s="49"/>
    </row>
    <row r="19" spans="2:8" x14ac:dyDescent="0.2">
      <c r="B19" s="49"/>
      <c r="C19" s="49"/>
      <c r="D19" s="49"/>
      <c r="E19" s="58"/>
      <c r="F19" s="49"/>
      <c r="G19" s="49"/>
      <c r="H19" s="49"/>
    </row>
    <row r="20" spans="2:8" x14ac:dyDescent="0.2">
      <c r="B20" s="49"/>
      <c r="C20" s="49"/>
      <c r="D20" s="49"/>
      <c r="E20" s="58"/>
      <c r="F20" s="49"/>
      <c r="G20" s="49"/>
      <c r="H20" s="49"/>
    </row>
    <row r="21" spans="2:8" x14ac:dyDescent="0.2">
      <c r="B21" s="49"/>
      <c r="C21" s="49"/>
      <c r="D21" s="49"/>
      <c r="E21" s="58"/>
      <c r="F21" s="49"/>
      <c r="G21" s="49"/>
      <c r="H21" s="49"/>
    </row>
    <row r="22" spans="2:8" x14ac:dyDescent="0.2">
      <c r="B22" s="49"/>
      <c r="C22" s="49"/>
      <c r="D22" s="49"/>
      <c r="E22" s="58"/>
      <c r="F22" s="49"/>
      <c r="G22" s="49"/>
      <c r="H22" s="49"/>
    </row>
    <row r="23" spans="2:8" x14ac:dyDescent="0.2">
      <c r="B23" s="49"/>
      <c r="C23" s="49"/>
      <c r="D23" s="49"/>
      <c r="E23" s="58"/>
      <c r="F23" s="49"/>
      <c r="G23" s="49"/>
      <c r="H23" s="49"/>
    </row>
    <row r="24" spans="2:8" x14ac:dyDescent="0.2">
      <c r="B24" s="49"/>
      <c r="C24" s="49"/>
      <c r="D24" s="49"/>
      <c r="E24" s="58"/>
      <c r="F24" s="49"/>
      <c r="G24" s="49"/>
      <c r="H24" s="49"/>
    </row>
    <row r="25" spans="2:8" x14ac:dyDescent="0.2">
      <c r="B25" s="49"/>
      <c r="C25" s="49"/>
      <c r="D25" s="49"/>
      <c r="E25" s="58"/>
      <c r="F25" s="49"/>
      <c r="G25" s="49"/>
      <c r="H25" s="49"/>
    </row>
    <row r="26" spans="2:8" x14ac:dyDescent="0.2">
      <c r="B26" s="49"/>
      <c r="C26" s="49"/>
      <c r="D26" s="49"/>
      <c r="E26" s="58"/>
      <c r="F26" s="49"/>
      <c r="G26" s="49"/>
      <c r="H26" s="49"/>
    </row>
    <row r="27" spans="2:8" x14ac:dyDescent="0.2">
      <c r="B27" s="49"/>
      <c r="C27" s="49"/>
      <c r="D27" s="49"/>
      <c r="E27" s="58"/>
      <c r="F27" s="49"/>
      <c r="G27" s="49"/>
      <c r="H27" s="49"/>
    </row>
    <row r="28" spans="2:8" x14ac:dyDescent="0.2">
      <c r="B28" s="49"/>
      <c r="C28" s="49"/>
      <c r="D28" s="49"/>
      <c r="E28" s="58"/>
      <c r="F28" s="49"/>
      <c r="G28" s="49"/>
      <c r="H28" s="49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0" r:id="rId3" name="TextBox1">
          <controlPr defaultSize="0" autoLine="0" autoPict="0" linkedCell="A1" r:id="rId4">
            <anchor moveWithCells="1">
              <from>
                <xdr:col>2</xdr:col>
                <xdr:colOff>133350</xdr:colOff>
                <xdr:row>1</xdr:row>
                <xdr:rowOff>171450</xdr:rowOff>
              </from>
              <to>
                <xdr:col>6</xdr:col>
                <xdr:colOff>352425</xdr:colOff>
                <xdr:row>3</xdr:row>
                <xdr:rowOff>28575</xdr:rowOff>
              </to>
            </anchor>
          </controlPr>
        </control>
      </mc:Choice>
      <mc:Fallback>
        <control shapeId="2050" r:id="rId3" name="TextBox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6895-4164-4E01-80E6-6F79977DC5F4}">
  <sheetPr codeName="Sheet4"/>
  <dimension ref="B2:F11"/>
  <sheetViews>
    <sheetView showGridLines="0" zoomScale="155" zoomScaleNormal="155" workbookViewId="0">
      <selection activeCell="G26" sqref="G26"/>
    </sheetView>
  </sheetViews>
  <sheetFormatPr defaultColWidth="8.75" defaultRowHeight="15" x14ac:dyDescent="0.25"/>
  <cols>
    <col min="1" max="1" width="8.75" style="69"/>
    <col min="2" max="2" width="9.5" style="69" bestFit="1" customWidth="1"/>
    <col min="3" max="3" width="8.875" style="69" bestFit="1" customWidth="1"/>
    <col min="4" max="4" width="8.75" style="69"/>
    <col min="5" max="5" width="8.75" style="69" bestFit="1" customWidth="1"/>
    <col min="6" max="6" width="11.5" style="71" customWidth="1"/>
    <col min="7" max="16384" width="8.75" style="69"/>
  </cols>
  <sheetData>
    <row r="2" spans="2:6" x14ac:dyDescent="0.25">
      <c r="B2" s="70" t="s">
        <v>48</v>
      </c>
    </row>
    <row r="4" spans="2:6" x14ac:dyDescent="0.25">
      <c r="B4" s="72" t="s">
        <v>49</v>
      </c>
      <c r="C4" s="73"/>
      <c r="D4" s="73" t="s">
        <v>50</v>
      </c>
    </row>
    <row r="5" spans="2:6" x14ac:dyDescent="0.25">
      <c r="C5" s="70" t="s">
        <v>51</v>
      </c>
      <c r="D5" s="70" t="s">
        <v>52</v>
      </c>
      <c r="E5" s="70" t="s">
        <v>53</v>
      </c>
      <c r="F5" s="74" t="s">
        <v>50</v>
      </c>
    </row>
    <row r="6" spans="2:6" x14ac:dyDescent="0.25">
      <c r="B6" s="75" t="s">
        <v>54</v>
      </c>
      <c r="C6" s="76" t="b">
        <v>1</v>
      </c>
      <c r="D6" s="76" t="b">
        <v>1</v>
      </c>
      <c r="E6" s="77" t="b">
        <v>1</v>
      </c>
      <c r="F6" s="78" t="str">
        <f>IF(AND(C6=TRUE,D6=TRUE,E6=TRUE),"Delivered",IF(AND(C6=TRUE,D6=TRUE),"Shipped",IF(C6=TRUE,"In Progress","")))</f>
        <v>Delivered</v>
      </c>
    </row>
    <row r="7" spans="2:6" x14ac:dyDescent="0.25">
      <c r="B7" s="75" t="s">
        <v>27</v>
      </c>
      <c r="C7" s="76" t="b">
        <v>0</v>
      </c>
      <c r="D7" s="76" t="b">
        <v>0</v>
      </c>
      <c r="E7" s="77" t="b">
        <v>0</v>
      </c>
      <c r="F7" s="78" t="str">
        <f t="shared" ref="F7:F11" si="0">IF(AND(C7=TRUE,D7=TRUE,E7=TRUE),"Delivered",IF(AND(C7=TRUE,D7=TRUE),"Shipped",IF(C7=TRUE,"In Progress","")))</f>
        <v/>
      </c>
    </row>
    <row r="8" spans="2:6" x14ac:dyDescent="0.25">
      <c r="B8" s="75" t="s">
        <v>55</v>
      </c>
      <c r="C8" s="76" t="b">
        <v>1</v>
      </c>
      <c r="D8" s="76" t="b">
        <v>1</v>
      </c>
      <c r="E8" s="77" t="b">
        <v>0</v>
      </c>
      <c r="F8" s="78" t="str">
        <f t="shared" si="0"/>
        <v>Shipped</v>
      </c>
    </row>
    <row r="9" spans="2:6" x14ac:dyDescent="0.25">
      <c r="B9" s="75" t="s">
        <v>56</v>
      </c>
      <c r="C9" s="76" t="b">
        <v>1</v>
      </c>
      <c r="D9" s="76" t="b">
        <v>1</v>
      </c>
      <c r="E9" s="77" t="b">
        <v>1</v>
      </c>
      <c r="F9" s="78" t="str">
        <f t="shared" si="0"/>
        <v>Delivered</v>
      </c>
    </row>
    <row r="10" spans="2:6" x14ac:dyDescent="0.25">
      <c r="B10" s="75" t="s">
        <v>57</v>
      </c>
      <c r="C10" s="76" t="b">
        <v>0</v>
      </c>
      <c r="D10" s="76" t="b">
        <v>0</v>
      </c>
      <c r="E10" s="77" t="b">
        <v>0</v>
      </c>
      <c r="F10" s="78" t="str">
        <f t="shared" si="0"/>
        <v/>
      </c>
    </row>
    <row r="11" spans="2:6" x14ac:dyDescent="0.25">
      <c r="B11" s="75" t="s">
        <v>58</v>
      </c>
      <c r="C11" s="76" t="b">
        <v>1</v>
      </c>
      <c r="D11" s="76" t="b">
        <v>0</v>
      </c>
      <c r="E11" s="77" t="b">
        <v>0</v>
      </c>
      <c r="F11" s="78" t="str">
        <f t="shared" si="0"/>
        <v>In Progress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C3E9-84F5-4B12-BC2A-808FD25103F1}">
  <sheetPr codeName="Sheet32"/>
  <dimension ref="B2:H26"/>
  <sheetViews>
    <sheetView showGridLines="0" zoomScale="180" zoomScaleNormal="180" workbookViewId="0">
      <selection activeCell="E29" sqref="E29"/>
    </sheetView>
  </sheetViews>
  <sheetFormatPr defaultRowHeight="14.25" x14ac:dyDescent="0.2"/>
  <cols>
    <col min="2" max="2" width="14.25" style="51" bestFit="1" customWidth="1"/>
    <col min="3" max="3" width="20.125" bestFit="1" customWidth="1"/>
    <col min="4" max="4" width="9" style="49"/>
    <col min="5" max="5" width="15.75" style="49" bestFit="1" customWidth="1"/>
    <col min="6" max="6" width="15.75" style="49" customWidth="1"/>
    <col min="7" max="7" width="10.5" style="49" customWidth="1"/>
  </cols>
  <sheetData>
    <row r="2" spans="2:8" ht="15" x14ac:dyDescent="0.25">
      <c r="B2" s="50" t="s">
        <v>104</v>
      </c>
      <c r="C2" s="48"/>
      <c r="D2" s="54"/>
      <c r="E2" s="54"/>
      <c r="F2" s="54"/>
      <c r="G2" s="54"/>
    </row>
    <row r="3" spans="2:8" ht="15" x14ac:dyDescent="0.25">
      <c r="B3" s="52"/>
      <c r="C3" s="53"/>
      <c r="D3" s="54"/>
      <c r="E3" s="54"/>
      <c r="F3" s="54"/>
      <c r="G3" s="54"/>
    </row>
    <row r="4" spans="2:8" x14ac:dyDescent="0.2">
      <c r="B4" s="55" t="s">
        <v>16</v>
      </c>
      <c r="C4" s="56" t="s">
        <v>17</v>
      </c>
      <c r="D4" s="57" t="s">
        <v>19</v>
      </c>
      <c r="E4" s="57" t="s">
        <v>20</v>
      </c>
      <c r="F4" s="57" t="s">
        <v>97</v>
      </c>
      <c r="G4" s="57" t="s">
        <v>22</v>
      </c>
    </row>
    <row r="5" spans="2:8" x14ac:dyDescent="0.2">
      <c r="B5" s="51">
        <v>20201</v>
      </c>
      <c r="C5" t="s">
        <v>98</v>
      </c>
      <c r="D5" s="49">
        <v>2</v>
      </c>
      <c r="E5" s="58">
        <v>3200</v>
      </c>
      <c r="F5" s="58">
        <f>SUM(Table15[[#This Row],[Qty]]*Table15[[#This Row],[Unit Price]])</f>
        <v>6400</v>
      </c>
      <c r="G5" s="49" t="s">
        <v>34</v>
      </c>
      <c r="H5" s="49"/>
    </row>
    <row r="6" spans="2:8" x14ac:dyDescent="0.2">
      <c r="B6" s="51">
        <v>20202</v>
      </c>
      <c r="C6" t="s">
        <v>99</v>
      </c>
      <c r="D6" s="49">
        <v>3</v>
      </c>
      <c r="E6" s="58">
        <v>600</v>
      </c>
      <c r="F6" s="58">
        <f>SUM(Table15[[#This Row],[Qty]]*Table15[[#This Row],[Unit Price]])</f>
        <v>1800</v>
      </c>
      <c r="G6" s="49" t="s">
        <v>35</v>
      </c>
    </row>
    <row r="7" spans="2:8" x14ac:dyDescent="0.2">
      <c r="B7" s="51">
        <v>20203</v>
      </c>
      <c r="C7" t="s">
        <v>100</v>
      </c>
      <c r="D7" s="49">
        <v>1</v>
      </c>
      <c r="E7" s="58">
        <v>1200</v>
      </c>
      <c r="F7" s="58">
        <f>SUM(Table15[[#This Row],[Qty]]*Table15[[#This Row],[Unit Price]])</f>
        <v>1200</v>
      </c>
      <c r="G7" s="49" t="s">
        <v>33</v>
      </c>
    </row>
    <row r="8" spans="2:8" x14ac:dyDescent="0.2">
      <c r="B8" s="51">
        <v>20204</v>
      </c>
      <c r="C8" t="s">
        <v>101</v>
      </c>
      <c r="D8" s="49">
        <v>6</v>
      </c>
      <c r="E8" s="58">
        <v>2300</v>
      </c>
      <c r="F8" s="58">
        <f>SUM(Table15[[#This Row],[Qty]]*Table15[[#This Row],[Unit Price]])</f>
        <v>13800</v>
      </c>
      <c r="G8" s="49" t="s">
        <v>37</v>
      </c>
    </row>
    <row r="9" spans="2:8" x14ac:dyDescent="0.2">
      <c r="B9" s="51">
        <v>20205</v>
      </c>
      <c r="C9" t="s">
        <v>102</v>
      </c>
      <c r="D9" s="49">
        <v>7</v>
      </c>
      <c r="E9" s="58">
        <v>1500</v>
      </c>
      <c r="F9" s="58">
        <f>SUM(Table15[[#This Row],[Qty]]*Table15[[#This Row],[Unit Price]])</f>
        <v>10500</v>
      </c>
      <c r="G9" s="49" t="s">
        <v>36</v>
      </c>
    </row>
    <row r="10" spans="2:8" x14ac:dyDescent="0.2">
      <c r="B10" s="51">
        <v>20206</v>
      </c>
      <c r="C10" t="s">
        <v>103</v>
      </c>
      <c r="D10" s="49">
        <v>4</v>
      </c>
      <c r="E10" s="58">
        <v>1300</v>
      </c>
      <c r="F10" s="58">
        <f>SUM(Table15[[#This Row],[Qty]]*Table15[[#This Row],[Unit Price]])</f>
        <v>5200</v>
      </c>
      <c r="G10" s="49" t="s">
        <v>38</v>
      </c>
    </row>
    <row r="16" spans="2:8" ht="15" x14ac:dyDescent="0.25">
      <c r="B16" s="111" t="s">
        <v>16</v>
      </c>
      <c r="C16" s="112" t="s">
        <v>17</v>
      </c>
      <c r="D16" s="113" t="s">
        <v>19</v>
      </c>
      <c r="E16" s="113" t="s">
        <v>20</v>
      </c>
      <c r="F16" s="113" t="s">
        <v>97</v>
      </c>
      <c r="G16" s="113" t="s">
        <v>22</v>
      </c>
    </row>
    <row r="18" spans="2:7" x14ac:dyDescent="0.2">
      <c r="B18" s="117">
        <v>20201</v>
      </c>
      <c r="C18" s="115" t="str" cm="1">
        <f t="array" ref="C18:G18">VLOOKUP(B18,Table15[#All],{2,3,4,5,6},0)</f>
        <v>Mechanical Keyboard</v>
      </c>
      <c r="D18" s="115">
        <v>2</v>
      </c>
      <c r="E18" s="115">
        <v>3200</v>
      </c>
      <c r="F18" s="115">
        <v>6400</v>
      </c>
      <c r="G18" s="115" t="str">
        <v>Kim</v>
      </c>
    </row>
    <row r="19" spans="2:7" x14ac:dyDescent="0.2">
      <c r="B19" s="117">
        <v>20202</v>
      </c>
      <c r="C19" s="115" t="str" cm="1">
        <f t="array" ref="C19:G19">VLOOKUP(B19,Table15[#All],{2,3,4,5,6},0)</f>
        <v>Mousepad</v>
      </c>
      <c r="D19" s="115">
        <v>3</v>
      </c>
      <c r="E19" s="115">
        <v>600</v>
      </c>
      <c r="F19" s="115">
        <v>1800</v>
      </c>
      <c r="G19" s="115" t="str">
        <v>Andrea</v>
      </c>
    </row>
    <row r="20" spans="2:7" x14ac:dyDescent="0.2">
      <c r="B20" s="117">
        <v>20203</v>
      </c>
      <c r="C20" s="115" t="str" cm="1">
        <f t="array" ref="C20:G20">VLOOKUP(B20,Table15[#All],{2,3,4,5,6},0)</f>
        <v>Headset</v>
      </c>
      <c r="D20" s="115">
        <v>1</v>
      </c>
      <c r="E20" s="115">
        <v>1200</v>
      </c>
      <c r="F20" s="115">
        <v>1200</v>
      </c>
      <c r="G20" s="115" t="str">
        <v>Michelle</v>
      </c>
    </row>
    <row r="21" spans="2:7" x14ac:dyDescent="0.2">
      <c r="B21" s="117">
        <v>20204</v>
      </c>
      <c r="C21" s="115" t="str" cm="1">
        <f t="array" ref="C21:G21">VLOOKUP(B21,Table15[#All],{2,3,4,5,6},0)</f>
        <v>Speakers</v>
      </c>
      <c r="D21" s="115">
        <v>6</v>
      </c>
      <c r="E21" s="115">
        <v>2300</v>
      </c>
      <c r="F21" s="115">
        <v>13800</v>
      </c>
      <c r="G21" s="115" t="str">
        <v>Joseph</v>
      </c>
    </row>
    <row r="22" spans="2:7" x14ac:dyDescent="0.2">
      <c r="B22" s="117">
        <v>20205</v>
      </c>
      <c r="C22" s="115" t="str" cm="1">
        <f t="array" ref="C22:G22">VLOOKUP(B22,Table15[#All],{2,3,4,5,6},0)</f>
        <v>Digital Clock</v>
      </c>
      <c r="D22" s="115">
        <v>7</v>
      </c>
      <c r="E22" s="115">
        <v>1500</v>
      </c>
      <c r="F22" s="115">
        <v>10500</v>
      </c>
      <c r="G22" s="115" t="str">
        <v>Aira</v>
      </c>
    </row>
    <row r="23" spans="2:7" x14ac:dyDescent="0.2">
      <c r="B23" s="117">
        <v>20206</v>
      </c>
      <c r="C23" s="115" t="str" cm="1">
        <f t="array" ref="C23:G23">VLOOKUP(B23,Table15[#All],{2,3,4,5,6},0)</f>
        <v>Gaming Mouse</v>
      </c>
      <c r="D23" s="115">
        <v>4</v>
      </c>
      <c r="E23" s="115">
        <v>1300</v>
      </c>
      <c r="F23" s="115">
        <v>5200</v>
      </c>
      <c r="G23" s="115" t="str">
        <v>Joel</v>
      </c>
    </row>
    <row r="24" spans="2:7" x14ac:dyDescent="0.2">
      <c r="B24" s="117"/>
      <c r="C24" s="115"/>
      <c r="D24" s="116"/>
      <c r="E24" s="116"/>
      <c r="F24" s="116"/>
      <c r="G24" s="116"/>
    </row>
    <row r="25" spans="2:7" x14ac:dyDescent="0.2">
      <c r="B25" s="114"/>
      <c r="C25" s="115"/>
      <c r="D25" s="116"/>
      <c r="E25" s="116"/>
      <c r="F25" s="116"/>
      <c r="G25" s="116"/>
    </row>
    <row r="26" spans="2:7" x14ac:dyDescent="0.2">
      <c r="B26" s="114"/>
      <c r="C26" s="115"/>
      <c r="D26" s="116"/>
      <c r="E26" s="116"/>
      <c r="F26" s="116"/>
      <c r="G26" s="11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BA6A-2DF3-4400-8E0E-E778814CBC58}">
  <sheetPr codeName="Sheet5"/>
  <dimension ref="B1:D8"/>
  <sheetViews>
    <sheetView showGridLines="0" zoomScale="190" zoomScaleNormal="190" workbookViewId="0">
      <selection activeCell="D13" sqref="D13"/>
    </sheetView>
  </sheetViews>
  <sheetFormatPr defaultRowHeight="14.25" x14ac:dyDescent="0.2"/>
  <cols>
    <col min="2" max="2" width="9" style="51"/>
    <col min="4" max="4" width="18.5" bestFit="1" customWidth="1"/>
  </cols>
  <sheetData>
    <row r="1" spans="2:4" ht="15" x14ac:dyDescent="0.25">
      <c r="B1" s="121" t="s">
        <v>113</v>
      </c>
    </row>
    <row r="3" spans="2:4" ht="15" x14ac:dyDescent="0.25">
      <c r="B3" s="119" t="s">
        <v>105</v>
      </c>
      <c r="C3" s="120" t="s">
        <v>106</v>
      </c>
      <c r="D3" s="120" t="s">
        <v>112</v>
      </c>
    </row>
    <row r="4" spans="2:4" x14ac:dyDescent="0.2">
      <c r="B4" s="51">
        <v>1001</v>
      </c>
      <c r="C4" t="s">
        <v>107</v>
      </c>
      <c r="D4" s="118">
        <v>250000</v>
      </c>
    </row>
    <row r="5" spans="2:4" x14ac:dyDescent="0.2">
      <c r="B5" s="51">
        <v>1002</v>
      </c>
      <c r="C5" t="s">
        <v>108</v>
      </c>
      <c r="D5" s="118">
        <v>550000</v>
      </c>
    </row>
    <row r="6" spans="2:4" x14ac:dyDescent="0.2">
      <c r="B6" s="51">
        <v>1003</v>
      </c>
      <c r="C6" t="s">
        <v>109</v>
      </c>
      <c r="D6" s="118">
        <v>850000</v>
      </c>
    </row>
    <row r="7" spans="2:4" x14ac:dyDescent="0.2">
      <c r="B7" s="51">
        <v>1003</v>
      </c>
      <c r="C7" t="s">
        <v>110</v>
      </c>
      <c r="D7" s="118">
        <v>740000</v>
      </c>
    </row>
    <row r="8" spans="2:4" x14ac:dyDescent="0.2">
      <c r="B8" s="51">
        <v>1003</v>
      </c>
      <c r="C8" t="s">
        <v>111</v>
      </c>
      <c r="D8" s="118">
        <v>10000000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1786-3974-4A96-86C9-0546F18299E7}">
  <sheetPr codeName="Sheet6"/>
  <dimension ref="B1:C8"/>
  <sheetViews>
    <sheetView showGridLines="0" zoomScale="190" zoomScaleNormal="190" workbookViewId="0">
      <selection activeCell="C5" sqref="C5"/>
    </sheetView>
  </sheetViews>
  <sheetFormatPr defaultRowHeight="14.25" x14ac:dyDescent="0.2"/>
  <cols>
    <col min="2" max="2" width="9" style="51"/>
    <col min="3" max="4" width="15.625" bestFit="1" customWidth="1"/>
  </cols>
  <sheetData>
    <row r="1" spans="2:3" ht="15" x14ac:dyDescent="0.25">
      <c r="B1" s="121" t="s">
        <v>115</v>
      </c>
    </row>
    <row r="3" spans="2:3" ht="15" x14ac:dyDescent="0.25">
      <c r="B3" s="120" t="s">
        <v>106</v>
      </c>
      <c r="C3" s="120" t="s">
        <v>114</v>
      </c>
    </row>
    <row r="4" spans="2:3" x14ac:dyDescent="0.2">
      <c r="B4" t="s">
        <v>107</v>
      </c>
      <c r="C4" s="118">
        <f>Sales!D4/2</f>
        <v>125000</v>
      </c>
    </row>
    <row r="5" spans="2:3" x14ac:dyDescent="0.2">
      <c r="B5" t="s">
        <v>108</v>
      </c>
      <c r="C5" s="118">
        <f>Sales!D5/2</f>
        <v>275000</v>
      </c>
    </row>
    <row r="6" spans="2:3" x14ac:dyDescent="0.2">
      <c r="B6" t="s">
        <v>109</v>
      </c>
      <c r="C6" s="118">
        <f>Sales!D6/2</f>
        <v>425000</v>
      </c>
    </row>
    <row r="7" spans="2:3" x14ac:dyDescent="0.2">
      <c r="B7" t="s">
        <v>110</v>
      </c>
      <c r="C7" s="118">
        <f>Sales!D7/2</f>
        <v>370000</v>
      </c>
    </row>
    <row r="8" spans="2:3" x14ac:dyDescent="0.2">
      <c r="B8" t="s">
        <v>111</v>
      </c>
      <c r="C8" s="118">
        <f>Sales!D8/2</f>
        <v>5000000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D5C8-71DA-4F89-A0BF-D6A0BB81B50E}">
  <sheetPr codeName="Sheet7">
    <tabColor theme="9"/>
  </sheetPr>
  <dimension ref="B3:E9"/>
  <sheetViews>
    <sheetView zoomScale="202" zoomScaleNormal="202" workbookViewId="0">
      <selection activeCell="E16" sqref="E16:E17"/>
    </sheetView>
  </sheetViews>
  <sheetFormatPr defaultRowHeight="14.25" x14ac:dyDescent="0.2"/>
  <cols>
    <col min="2" max="2" width="11.375" bestFit="1" customWidth="1"/>
    <col min="3" max="3" width="18.625" bestFit="1" customWidth="1"/>
    <col min="4" max="4" width="17.5" bestFit="1" customWidth="1"/>
    <col min="5" max="5" width="18.625" bestFit="1" customWidth="1"/>
    <col min="6" max="11" width="0" hidden="1" customWidth="1"/>
  </cols>
  <sheetData>
    <row r="3" spans="2:5" x14ac:dyDescent="0.2">
      <c r="B3" s="122" t="s">
        <v>106</v>
      </c>
      <c r="C3" t="s">
        <v>123</v>
      </c>
      <c r="D3" t="s">
        <v>124</v>
      </c>
      <c r="E3" t="s">
        <v>125</v>
      </c>
    </row>
    <row r="4" spans="2:5" x14ac:dyDescent="0.2">
      <c r="B4" s="51" t="s">
        <v>108</v>
      </c>
      <c r="C4" s="118">
        <v>550000</v>
      </c>
      <c r="D4" s="118">
        <v>275000</v>
      </c>
      <c r="E4" s="118">
        <v>1100000</v>
      </c>
    </row>
    <row r="5" spans="2:5" x14ac:dyDescent="0.2">
      <c r="B5" s="51" t="s">
        <v>109</v>
      </c>
      <c r="C5" s="118">
        <v>850000</v>
      </c>
      <c r="D5" s="118">
        <v>425000</v>
      </c>
      <c r="E5" s="118">
        <v>1700000</v>
      </c>
    </row>
    <row r="6" spans="2:5" x14ac:dyDescent="0.2">
      <c r="B6" s="51" t="s">
        <v>110</v>
      </c>
      <c r="C6" s="118">
        <v>740000</v>
      </c>
      <c r="D6" s="118">
        <v>370000</v>
      </c>
      <c r="E6" s="118">
        <v>1480000</v>
      </c>
    </row>
    <row r="7" spans="2:5" x14ac:dyDescent="0.2">
      <c r="B7" s="51" t="s">
        <v>111</v>
      </c>
      <c r="C7" s="118">
        <v>10000000</v>
      </c>
      <c r="D7" s="118">
        <v>5000000</v>
      </c>
      <c r="E7" s="118">
        <v>20000000</v>
      </c>
    </row>
    <row r="8" spans="2:5" x14ac:dyDescent="0.2">
      <c r="B8" s="51" t="s">
        <v>107</v>
      </c>
      <c r="C8" s="118">
        <v>250000</v>
      </c>
      <c r="D8" s="118">
        <v>125000</v>
      </c>
      <c r="E8" s="118">
        <v>500000</v>
      </c>
    </row>
    <row r="9" spans="2:5" x14ac:dyDescent="0.2">
      <c r="B9" s="51" t="s">
        <v>122</v>
      </c>
      <c r="C9" s="118">
        <v>12390000</v>
      </c>
      <c r="D9" s="118">
        <v>6195000</v>
      </c>
      <c r="E9" s="118">
        <v>24780000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EA11-D263-4043-99F0-44B44F9DA957}">
  <sheetPr codeName="Sheet8"/>
  <dimension ref="B1:D8"/>
  <sheetViews>
    <sheetView showGridLines="0" zoomScale="190" zoomScaleNormal="190" workbookViewId="0">
      <selection activeCell="E21" sqref="E21"/>
    </sheetView>
  </sheetViews>
  <sheetFormatPr defaultRowHeight="14.25" x14ac:dyDescent="0.2"/>
  <cols>
    <col min="2" max="2" width="9" style="51"/>
    <col min="3" max="3" width="17.375" bestFit="1" customWidth="1"/>
    <col min="4" max="4" width="15.625" bestFit="1" customWidth="1"/>
  </cols>
  <sheetData>
    <row r="1" spans="2:4" ht="15" x14ac:dyDescent="0.25">
      <c r="B1" s="121" t="s">
        <v>116</v>
      </c>
    </row>
    <row r="3" spans="2:4" ht="15" x14ac:dyDescent="0.25">
      <c r="B3" s="120" t="s">
        <v>106</v>
      </c>
      <c r="C3" s="120" t="s">
        <v>97</v>
      </c>
      <c r="D3" s="120" t="s">
        <v>49</v>
      </c>
    </row>
    <row r="4" spans="2:4" x14ac:dyDescent="0.2">
      <c r="B4" t="s">
        <v>107</v>
      </c>
      <c r="C4" s="118">
        <f>Sales!D4*2</f>
        <v>500000</v>
      </c>
      <c r="D4" t="s">
        <v>117</v>
      </c>
    </row>
    <row r="5" spans="2:4" x14ac:dyDescent="0.2">
      <c r="B5" t="s">
        <v>108</v>
      </c>
      <c r="C5" s="118">
        <f>Sales!D5*2</f>
        <v>1100000</v>
      </c>
      <c r="D5" t="s">
        <v>118</v>
      </c>
    </row>
    <row r="6" spans="2:4" x14ac:dyDescent="0.2">
      <c r="B6" t="s">
        <v>109</v>
      </c>
      <c r="C6" s="118">
        <f>Sales!D6*2</f>
        <v>1700000</v>
      </c>
      <c r="D6" t="s">
        <v>119</v>
      </c>
    </row>
    <row r="7" spans="2:4" x14ac:dyDescent="0.2">
      <c r="B7" t="s">
        <v>110</v>
      </c>
      <c r="C7" s="118">
        <f>Sales!D7*2</f>
        <v>1480000</v>
      </c>
      <c r="D7" t="s">
        <v>120</v>
      </c>
    </row>
    <row r="8" spans="2:4" x14ac:dyDescent="0.2">
      <c r="B8" t="s">
        <v>111</v>
      </c>
      <c r="C8" s="118">
        <f>Sales!D8*2</f>
        <v>20000000</v>
      </c>
      <c r="D8" t="s">
        <v>121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55B9-548A-409B-BE4E-4FAF967A9702}">
  <sheetPr codeName="Sheet9"/>
  <dimension ref="C4:K11"/>
  <sheetViews>
    <sheetView showGridLines="0" zoomScale="166" zoomScaleNormal="166" workbookViewId="0">
      <selection activeCell="K7" sqref="K7"/>
    </sheetView>
  </sheetViews>
  <sheetFormatPr defaultRowHeight="14.25" x14ac:dyDescent="0.2"/>
  <cols>
    <col min="2" max="2" width="6.625" customWidth="1"/>
    <col min="3" max="3" width="12.625" customWidth="1"/>
    <col min="4" max="8" width="16" bestFit="1" customWidth="1"/>
    <col min="10" max="10" width="13.5" customWidth="1"/>
    <col min="11" max="11" width="16.25" style="49" customWidth="1"/>
  </cols>
  <sheetData>
    <row r="4" spans="3:11" ht="15" x14ac:dyDescent="0.25">
      <c r="C4" s="179" t="s">
        <v>112</v>
      </c>
      <c r="D4" s="179"/>
      <c r="E4" s="179"/>
      <c r="F4" s="179"/>
      <c r="G4" s="179"/>
      <c r="J4" s="123" t="s">
        <v>49</v>
      </c>
      <c r="K4" s="129" t="s">
        <v>126</v>
      </c>
    </row>
    <row r="6" spans="3:11" ht="15" x14ac:dyDescent="0.25">
      <c r="C6" s="125" t="s">
        <v>49</v>
      </c>
      <c r="D6" s="126" t="s">
        <v>63</v>
      </c>
      <c r="E6" s="126" t="s">
        <v>85</v>
      </c>
      <c r="F6" s="126" t="s">
        <v>62</v>
      </c>
      <c r="G6" s="126" t="s">
        <v>64</v>
      </c>
      <c r="H6" s="126" t="s">
        <v>127</v>
      </c>
      <c r="J6" s="123" t="s">
        <v>83</v>
      </c>
      <c r="K6" s="130" t="s">
        <v>84</v>
      </c>
    </row>
    <row r="7" spans="3:11" x14ac:dyDescent="0.2">
      <c r="C7" s="124" t="s">
        <v>118</v>
      </c>
      <c r="D7" s="127">
        <v>45000</v>
      </c>
      <c r="E7" s="127">
        <v>115000</v>
      </c>
      <c r="F7" s="127">
        <v>180000</v>
      </c>
      <c r="G7" s="127">
        <v>120000</v>
      </c>
      <c r="H7" s="127">
        <v>90000</v>
      </c>
      <c r="J7" s="124" t="s">
        <v>63</v>
      </c>
      <c r="K7" s="128">
        <f>INDEX($C$6:$H$11,MATCH($K$4,$C$6:$C$11,0),MATCH(J7,$C$6:$H$6,0))</f>
        <v>150000</v>
      </c>
    </row>
    <row r="8" spans="3:11" x14ac:dyDescent="0.2">
      <c r="C8" s="124" t="s">
        <v>126</v>
      </c>
      <c r="D8" s="127">
        <v>150000</v>
      </c>
      <c r="E8" s="127">
        <v>116000</v>
      </c>
      <c r="F8" s="127">
        <v>45002</v>
      </c>
      <c r="G8" s="127">
        <v>78000</v>
      </c>
      <c r="H8" s="127">
        <v>45004</v>
      </c>
      <c r="J8" s="124" t="s">
        <v>85</v>
      </c>
      <c r="K8" s="128">
        <f t="shared" ref="K8:K11" si="0">INDEX($C$6:$H$11,MATCH($K$4,$C$6:$C$11,0),MATCH(J8,$C$6:$H$6,0))</f>
        <v>116000</v>
      </c>
    </row>
    <row r="9" spans="3:11" x14ac:dyDescent="0.2">
      <c r="C9" s="124" t="s">
        <v>120</v>
      </c>
      <c r="D9" s="127">
        <v>117000</v>
      </c>
      <c r="E9" s="127">
        <v>45001</v>
      </c>
      <c r="F9" s="127">
        <v>99000</v>
      </c>
      <c r="G9" s="127">
        <v>66000</v>
      </c>
      <c r="H9" s="127">
        <v>87000</v>
      </c>
      <c r="J9" s="124" t="s">
        <v>62</v>
      </c>
      <c r="K9" s="128">
        <f t="shared" si="0"/>
        <v>45002</v>
      </c>
    </row>
    <row r="10" spans="3:11" x14ac:dyDescent="0.2">
      <c r="C10" s="124" t="s">
        <v>128</v>
      </c>
      <c r="D10" s="127">
        <v>20000</v>
      </c>
      <c r="E10" s="127">
        <v>450000</v>
      </c>
      <c r="F10" s="127">
        <v>89000</v>
      </c>
      <c r="G10" s="127">
        <v>240000</v>
      </c>
      <c r="H10" s="127">
        <v>65000</v>
      </c>
      <c r="J10" s="124" t="s">
        <v>64</v>
      </c>
      <c r="K10" s="128">
        <f t="shared" si="0"/>
        <v>78000</v>
      </c>
    </row>
    <row r="11" spans="3:11" x14ac:dyDescent="0.2">
      <c r="C11" s="124" t="s">
        <v>129</v>
      </c>
      <c r="D11" s="127">
        <v>85000</v>
      </c>
      <c r="E11" s="127">
        <v>45001</v>
      </c>
      <c r="F11" s="127">
        <v>900000</v>
      </c>
      <c r="G11" s="127">
        <v>89000</v>
      </c>
      <c r="H11" s="127">
        <v>100000</v>
      </c>
      <c r="J11" s="124" t="s">
        <v>127</v>
      </c>
      <c r="K11" s="128">
        <f t="shared" si="0"/>
        <v>45004</v>
      </c>
    </row>
  </sheetData>
  <mergeCells count="1">
    <mergeCell ref="C4:G4"/>
  </mergeCells>
  <dataValidations count="1">
    <dataValidation type="list" allowBlank="1" showInputMessage="1" showErrorMessage="1" sqref="K4" xr:uid="{C2AFD3AC-5159-4CEC-902F-A7484EF3D51E}">
      <formula1>$C$7:$C$11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79AE-F8CA-4704-AEEB-C0E6E4EF6351}">
  <sheetPr codeName="Sheet10"/>
  <dimension ref="C4:K27"/>
  <sheetViews>
    <sheetView showGridLines="0" zoomScale="166" zoomScaleNormal="166" workbookViewId="0">
      <selection activeCell="G8" sqref="G8"/>
    </sheetView>
  </sheetViews>
  <sheetFormatPr defaultRowHeight="14.25" x14ac:dyDescent="0.2"/>
  <cols>
    <col min="2" max="2" width="6.625" customWidth="1"/>
    <col min="3" max="3" width="12.625" customWidth="1"/>
    <col min="4" max="4" width="17.125" bestFit="1" customWidth="1"/>
    <col min="5" max="5" width="16.125" bestFit="1" customWidth="1"/>
    <col min="6" max="6" width="6.25" customWidth="1"/>
    <col min="7" max="8" width="17.125" bestFit="1" customWidth="1"/>
    <col min="9" max="9" width="15.5" bestFit="1" customWidth="1"/>
    <col min="10" max="10" width="17.125" bestFit="1" customWidth="1"/>
    <col min="11" max="11" width="17.125" style="49" bestFit="1" customWidth="1"/>
  </cols>
  <sheetData>
    <row r="4" spans="3:11" ht="15" x14ac:dyDescent="0.25">
      <c r="C4" s="132" t="s">
        <v>112</v>
      </c>
      <c r="D4" s="132"/>
      <c r="E4" s="132"/>
      <c r="F4" s="133"/>
      <c r="G4" s="133"/>
      <c r="K4"/>
    </row>
    <row r="5" spans="3:11" x14ac:dyDescent="0.2">
      <c r="K5"/>
    </row>
    <row r="6" spans="3:11" ht="15" x14ac:dyDescent="0.25">
      <c r="C6" s="126" t="s">
        <v>49</v>
      </c>
      <c r="D6" s="126" t="s">
        <v>83</v>
      </c>
      <c r="E6" s="126" t="s">
        <v>136</v>
      </c>
      <c r="K6"/>
    </row>
    <row r="7" spans="3:11" x14ac:dyDescent="0.2">
      <c r="C7" s="131" t="s">
        <v>130</v>
      </c>
      <c r="D7" s="131" t="s">
        <v>63</v>
      </c>
      <c r="E7" s="134">
        <v>150000</v>
      </c>
      <c r="G7" t="str" cm="1">
        <f t="array" ref="G7:K13">_xlfn.PIVOTBY(C7:C25,D7:D25,E7:E25,_xleta.SUM)</f>
        <v/>
      </c>
      <c r="H7" t="str">
        <v>Mandaluyong</v>
      </c>
      <c r="I7" t="str">
        <v>Market- Market</v>
      </c>
      <c r="J7" t="str">
        <v>Pasay</v>
      </c>
      <c r="K7" t="str">
        <v>Total</v>
      </c>
    </row>
    <row r="8" spans="3:11" x14ac:dyDescent="0.2">
      <c r="C8" s="131" t="s">
        <v>130</v>
      </c>
      <c r="D8" s="131" t="s">
        <v>62</v>
      </c>
      <c r="E8" s="134">
        <v>280000</v>
      </c>
      <c r="G8" t="str">
        <v>CPU</v>
      </c>
      <c r="H8" s="118">
        <v>111111</v>
      </c>
      <c r="I8" s="118">
        <v>5000</v>
      </c>
      <c r="J8" s="118">
        <v>867000</v>
      </c>
      <c r="K8" s="118">
        <v>983111</v>
      </c>
    </row>
    <row r="9" spans="3:11" x14ac:dyDescent="0.2">
      <c r="C9" s="131" t="s">
        <v>131</v>
      </c>
      <c r="D9" s="131" t="s">
        <v>63</v>
      </c>
      <c r="E9" s="134">
        <v>170000</v>
      </c>
      <c r="G9" t="str">
        <v>Motherboard</v>
      </c>
      <c r="H9" s="118">
        <v>280000</v>
      </c>
      <c r="I9" s="118">
        <v>699000</v>
      </c>
      <c r="J9" s="118">
        <v>150000</v>
      </c>
      <c r="K9" s="118">
        <v>1129000</v>
      </c>
    </row>
    <row r="10" spans="3:11" x14ac:dyDescent="0.2">
      <c r="C10" s="131" t="s">
        <v>130</v>
      </c>
      <c r="D10" s="131" t="s">
        <v>135</v>
      </c>
      <c r="E10" s="134">
        <v>99000</v>
      </c>
      <c r="G10" t="str">
        <v>Power Supply</v>
      </c>
      <c r="H10" s="118">
        <v>87000</v>
      </c>
      <c r="I10" s="118">
        <v>99000</v>
      </c>
      <c r="J10" s="118">
        <v>170000</v>
      </c>
      <c r="K10" s="118">
        <v>356000</v>
      </c>
    </row>
    <row r="11" spans="3:11" x14ac:dyDescent="0.2">
      <c r="C11" s="131" t="s">
        <v>132</v>
      </c>
      <c r="D11" s="131" t="s">
        <v>62</v>
      </c>
      <c r="E11" s="134">
        <v>450000</v>
      </c>
      <c r="G11" t="str">
        <v xml:space="preserve">RAM </v>
      </c>
      <c r="H11" s="118">
        <v>505000</v>
      </c>
      <c r="I11" s="118">
        <v>5400</v>
      </c>
      <c r="J11" s="118">
        <v>90000</v>
      </c>
      <c r="K11" s="118">
        <v>600400</v>
      </c>
    </row>
    <row r="12" spans="3:11" x14ac:dyDescent="0.2">
      <c r="C12" s="131" t="s">
        <v>130</v>
      </c>
      <c r="D12" s="131" t="s">
        <v>135</v>
      </c>
      <c r="E12" s="134">
        <v>600000</v>
      </c>
      <c r="G12" t="str">
        <v>RGB fans</v>
      </c>
      <c r="H12" s="118">
        <v>985600</v>
      </c>
      <c r="I12" s="118">
        <v>3400</v>
      </c>
      <c r="J12" s="118">
        <v>1211</v>
      </c>
      <c r="K12" s="58">
        <v>990211</v>
      </c>
    </row>
    <row r="13" spans="3:11" x14ac:dyDescent="0.2">
      <c r="C13" s="131" t="s">
        <v>133</v>
      </c>
      <c r="D13" s="131" t="s">
        <v>63</v>
      </c>
      <c r="E13" s="134">
        <v>780000</v>
      </c>
      <c r="G13" t="str">
        <v>Total</v>
      </c>
      <c r="H13" s="118">
        <v>1968711</v>
      </c>
      <c r="I13" s="118">
        <v>811800</v>
      </c>
      <c r="J13" s="118">
        <v>1278211</v>
      </c>
      <c r="K13" s="58">
        <v>4058722</v>
      </c>
    </row>
    <row r="14" spans="3:11" x14ac:dyDescent="0.2">
      <c r="C14" s="131" t="s">
        <v>134</v>
      </c>
      <c r="D14" s="131" t="s">
        <v>62</v>
      </c>
      <c r="E14" s="134">
        <v>980000</v>
      </c>
    </row>
    <row r="15" spans="3:11" x14ac:dyDescent="0.2">
      <c r="C15" s="131" t="s">
        <v>131</v>
      </c>
      <c r="D15" s="135" t="s">
        <v>62</v>
      </c>
      <c r="E15" s="136">
        <v>87000</v>
      </c>
    </row>
    <row r="16" spans="3:11" x14ac:dyDescent="0.2">
      <c r="C16" s="131" t="s">
        <v>131</v>
      </c>
      <c r="D16" s="131" t="s">
        <v>135</v>
      </c>
      <c r="E16" s="136">
        <v>99000</v>
      </c>
    </row>
    <row r="17" spans="3:7" x14ac:dyDescent="0.2">
      <c r="C17" s="131" t="s">
        <v>132</v>
      </c>
      <c r="D17" s="131" t="s">
        <v>135</v>
      </c>
      <c r="E17" s="136">
        <v>5400</v>
      </c>
    </row>
    <row r="18" spans="3:7" x14ac:dyDescent="0.2">
      <c r="C18" s="131" t="s">
        <v>132</v>
      </c>
      <c r="D18" s="131" t="s">
        <v>63</v>
      </c>
      <c r="E18" s="136">
        <v>90000</v>
      </c>
    </row>
    <row r="19" spans="3:7" x14ac:dyDescent="0.2">
      <c r="C19" s="131" t="s">
        <v>132</v>
      </c>
      <c r="D19" s="131" t="s">
        <v>62</v>
      </c>
      <c r="E19" s="118">
        <v>55000</v>
      </c>
      <c r="F19" s="118"/>
      <c r="G19" s="118"/>
    </row>
    <row r="20" spans="3:7" x14ac:dyDescent="0.2">
      <c r="C20" s="131" t="s">
        <v>133</v>
      </c>
      <c r="D20" s="131" t="s">
        <v>62</v>
      </c>
      <c r="E20" s="118">
        <v>111111</v>
      </c>
      <c r="F20" s="118"/>
      <c r="G20" s="118"/>
    </row>
    <row r="21" spans="3:7" x14ac:dyDescent="0.2">
      <c r="C21" s="131" t="s">
        <v>133</v>
      </c>
      <c r="D21" s="131" t="s">
        <v>63</v>
      </c>
      <c r="E21" s="118">
        <v>87000</v>
      </c>
      <c r="F21" s="118"/>
      <c r="G21" s="118"/>
    </row>
    <row r="22" spans="3:7" x14ac:dyDescent="0.2">
      <c r="C22" s="131" t="s">
        <v>133</v>
      </c>
      <c r="D22" s="131" t="s">
        <v>135</v>
      </c>
      <c r="E22" s="118">
        <v>5000</v>
      </c>
      <c r="F22" s="118"/>
      <c r="G22" s="118"/>
    </row>
    <row r="23" spans="3:7" x14ac:dyDescent="0.2">
      <c r="C23" s="131" t="s">
        <v>134</v>
      </c>
      <c r="D23" s="131" t="s">
        <v>135</v>
      </c>
      <c r="E23" s="118">
        <v>3400</v>
      </c>
      <c r="F23" s="118"/>
      <c r="G23" s="118"/>
    </row>
    <row r="24" spans="3:7" x14ac:dyDescent="0.2">
      <c r="C24" s="131" t="s">
        <v>134</v>
      </c>
      <c r="D24" s="131" t="s">
        <v>62</v>
      </c>
      <c r="E24" s="118">
        <v>5600</v>
      </c>
      <c r="F24" s="118"/>
      <c r="G24" s="118"/>
    </row>
    <row r="25" spans="3:7" x14ac:dyDescent="0.2">
      <c r="C25" s="131" t="s">
        <v>134</v>
      </c>
      <c r="D25" s="131" t="s">
        <v>63</v>
      </c>
      <c r="E25" s="118">
        <v>1211</v>
      </c>
      <c r="F25" s="118"/>
      <c r="G25" s="118"/>
    </row>
    <row r="26" spans="3:7" x14ac:dyDescent="0.2">
      <c r="D26" s="118"/>
      <c r="E26" s="118"/>
      <c r="F26" s="118"/>
      <c r="G26" s="118"/>
    </row>
    <row r="27" spans="3:7" x14ac:dyDescent="0.2">
      <c r="D27" s="118"/>
      <c r="E27" s="118"/>
      <c r="F27" s="118"/>
      <c r="G27" s="1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2A5D-0A54-4F3B-8C40-24E3D20CCD27}">
  <sheetPr codeName="Sheet11"/>
  <dimension ref="B4:J24"/>
  <sheetViews>
    <sheetView showGridLines="0" zoomScale="166" zoomScaleNormal="166" workbookViewId="0">
      <selection activeCell="E8" sqref="E8"/>
    </sheetView>
  </sheetViews>
  <sheetFormatPr defaultRowHeight="14.25" x14ac:dyDescent="0.2"/>
  <cols>
    <col min="2" max="2" width="18.5" bestFit="1" customWidth="1"/>
    <col min="3" max="3" width="10.75" style="49" customWidth="1"/>
    <col min="4" max="4" width="5.625" customWidth="1"/>
    <col min="5" max="5" width="16.625" bestFit="1" customWidth="1"/>
    <col min="6" max="6" width="10.625" customWidth="1"/>
    <col min="7" max="7" width="3.125" customWidth="1"/>
    <col min="8" max="8" width="18.5" bestFit="1" customWidth="1"/>
    <col min="9" max="9" width="10.625" customWidth="1"/>
    <col min="10" max="10" width="17.125" style="49" bestFit="1" customWidth="1"/>
  </cols>
  <sheetData>
    <row r="4" spans="2:10" ht="15" x14ac:dyDescent="0.25">
      <c r="B4" s="144" t="s">
        <v>137</v>
      </c>
      <c r="C4" s="147"/>
      <c r="D4" s="133"/>
      <c r="E4" s="153" t="s">
        <v>147</v>
      </c>
      <c r="F4" s="154"/>
      <c r="H4" s="149" t="s">
        <v>148</v>
      </c>
      <c r="I4" s="150"/>
      <c r="J4"/>
    </row>
    <row r="5" spans="2:10" x14ac:dyDescent="0.2">
      <c r="J5"/>
    </row>
    <row r="6" spans="2:10" ht="15" x14ac:dyDescent="0.25">
      <c r="B6" s="82" t="s">
        <v>49</v>
      </c>
      <c r="C6" s="148" t="s">
        <v>19</v>
      </c>
      <c r="D6" s="118"/>
      <c r="E6" s="151" t="s">
        <v>49</v>
      </c>
      <c r="F6" s="152" t="s">
        <v>19</v>
      </c>
      <c r="H6" s="145" t="s">
        <v>49</v>
      </c>
      <c r="I6" s="146" t="s">
        <v>19</v>
      </c>
      <c r="J6"/>
    </row>
    <row r="7" spans="2:10" x14ac:dyDescent="0.2">
      <c r="B7" s="155" t="s">
        <v>130</v>
      </c>
      <c r="C7" s="156">
        <v>0</v>
      </c>
      <c r="D7" s="118"/>
      <c r="E7" t="str" cm="1">
        <f t="array" ref="E7:F19">_xlfn._xlws.FILTER(B7:C22,C7:C22&gt;0)</f>
        <v>Power Supply</v>
      </c>
      <c r="F7">
        <v>110</v>
      </c>
      <c r="H7" t="str" cm="1">
        <f t="array" ref="H7:I9">_xlfn._xlws.FILTER(B7:C22,C7:C22=0,"")</f>
        <v>Motherboard</v>
      </c>
      <c r="I7">
        <v>0</v>
      </c>
      <c r="J7"/>
    </row>
    <row r="8" spans="2:10" x14ac:dyDescent="0.2">
      <c r="B8" s="157" t="s">
        <v>139</v>
      </c>
      <c r="C8" s="158">
        <v>0</v>
      </c>
      <c r="E8" t="str">
        <v xml:space="preserve">RAM </v>
      </c>
      <c r="F8">
        <v>1341</v>
      </c>
      <c r="G8" s="118"/>
      <c r="H8" s="118" t="str">
        <v>GPU</v>
      </c>
      <c r="I8">
        <v>0</v>
      </c>
      <c r="J8" s="118"/>
    </row>
    <row r="9" spans="2:10" x14ac:dyDescent="0.2">
      <c r="B9" s="157" t="s">
        <v>131</v>
      </c>
      <c r="C9" s="158">
        <v>110</v>
      </c>
      <c r="E9" t="str">
        <v>CPU</v>
      </c>
      <c r="F9">
        <v>22</v>
      </c>
      <c r="G9" s="118"/>
      <c r="H9" s="118" t="str">
        <v>CPU Cooler</v>
      </c>
      <c r="I9">
        <v>0</v>
      </c>
      <c r="J9" s="118"/>
    </row>
    <row r="10" spans="2:10" x14ac:dyDescent="0.2">
      <c r="B10" s="157" t="s">
        <v>132</v>
      </c>
      <c r="C10" s="158">
        <v>1341</v>
      </c>
      <c r="E10" t="str">
        <v>RGB fans</v>
      </c>
      <c r="F10">
        <v>112</v>
      </c>
      <c r="G10" s="118"/>
      <c r="H10" s="118"/>
      <c r="J10" s="118"/>
    </row>
    <row r="11" spans="2:10" x14ac:dyDescent="0.2">
      <c r="B11" s="157" t="s">
        <v>133</v>
      </c>
      <c r="C11" s="158">
        <v>22</v>
      </c>
      <c r="E11" t="str">
        <v>Case</v>
      </c>
      <c r="F11">
        <v>66</v>
      </c>
      <c r="G11" s="118"/>
      <c r="H11" s="118"/>
      <c r="J11" s="58"/>
    </row>
    <row r="12" spans="2:10" x14ac:dyDescent="0.2">
      <c r="B12" s="157" t="s">
        <v>134</v>
      </c>
      <c r="C12" s="158">
        <v>112</v>
      </c>
      <c r="E12" t="str">
        <v>Mechanical Keyboard</v>
      </c>
      <c r="F12">
        <v>200</v>
      </c>
    </row>
    <row r="13" spans="2:10" x14ac:dyDescent="0.2">
      <c r="B13" s="157" t="s">
        <v>140</v>
      </c>
      <c r="C13" s="159">
        <v>0</v>
      </c>
      <c r="E13" t="str">
        <v>ROG mouse</v>
      </c>
      <c r="F13">
        <v>340</v>
      </c>
    </row>
    <row r="14" spans="2:10" x14ac:dyDescent="0.2">
      <c r="B14" s="157" t="s">
        <v>96</v>
      </c>
      <c r="C14" s="158">
        <v>66</v>
      </c>
      <c r="E14" t="str">
        <v>Mouse pad</v>
      </c>
      <c r="F14">
        <v>200</v>
      </c>
    </row>
    <row r="15" spans="2:10" x14ac:dyDescent="0.2">
      <c r="B15" s="157" t="s">
        <v>98</v>
      </c>
      <c r="C15" s="158">
        <v>200</v>
      </c>
      <c r="E15" t="str">
        <v>ROG headphone</v>
      </c>
      <c r="F15">
        <v>160</v>
      </c>
    </row>
    <row r="16" spans="2:10" x14ac:dyDescent="0.2">
      <c r="B16" s="157" t="s">
        <v>141</v>
      </c>
      <c r="C16" s="158">
        <v>340</v>
      </c>
      <c r="E16" t="str">
        <v>Corsair chair</v>
      </c>
      <c r="F16">
        <v>30</v>
      </c>
    </row>
    <row r="17" spans="2:6" x14ac:dyDescent="0.2">
      <c r="B17" s="157" t="s">
        <v>142</v>
      </c>
      <c r="C17" s="158">
        <v>200</v>
      </c>
      <c r="E17" s="118" t="str">
        <v>Gaming Mic</v>
      </c>
      <c r="F17">
        <v>120</v>
      </c>
    </row>
    <row r="18" spans="2:6" x14ac:dyDescent="0.2">
      <c r="B18" s="157" t="s">
        <v>143</v>
      </c>
      <c r="C18" s="158">
        <v>160</v>
      </c>
      <c r="E18" s="118" t="str">
        <v>Digital Clock</v>
      </c>
      <c r="F18">
        <v>300</v>
      </c>
    </row>
    <row r="19" spans="2:6" x14ac:dyDescent="0.2">
      <c r="B19" s="157" t="s">
        <v>144</v>
      </c>
      <c r="C19" s="158">
        <v>30</v>
      </c>
      <c r="E19" s="118" t="str">
        <v>RGB speaker</v>
      </c>
      <c r="F19">
        <v>260</v>
      </c>
    </row>
    <row r="20" spans="2:6" x14ac:dyDescent="0.2">
      <c r="B20" s="157" t="s">
        <v>145</v>
      </c>
      <c r="C20" s="158">
        <v>120</v>
      </c>
      <c r="E20" s="118"/>
    </row>
    <row r="21" spans="2:6" x14ac:dyDescent="0.2">
      <c r="B21" s="157" t="s">
        <v>102</v>
      </c>
      <c r="C21" s="158">
        <v>300</v>
      </c>
      <c r="E21" s="118"/>
    </row>
    <row r="22" spans="2:6" x14ac:dyDescent="0.2">
      <c r="B22" s="160" t="s">
        <v>146</v>
      </c>
      <c r="C22" s="161">
        <v>260</v>
      </c>
    </row>
    <row r="23" spans="2:6" x14ac:dyDescent="0.2">
      <c r="E23" s="118"/>
    </row>
    <row r="24" spans="2:6" x14ac:dyDescent="0.2">
      <c r="E24" s="11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924D366-E0FB-40A6-892D-72AF6F420D6A}">
  <ds:schemaRefs/>
</ds:datastoreItem>
</file>

<file path=customXml/itemProps2.xml><?xml version="1.0" encoding="utf-8"?>
<ds:datastoreItem xmlns:ds="http://schemas.openxmlformats.org/officeDocument/2006/customXml" ds:itemID="{F92094BD-6A29-4EDE-B7C2-B2BF79F47E5A}">
  <ds:schemaRefs/>
</ds:datastoreItem>
</file>

<file path=customXml/itemProps3.xml><?xml version="1.0" encoding="utf-8"?>
<ds:datastoreItem xmlns:ds="http://schemas.openxmlformats.org/officeDocument/2006/customXml" ds:itemID="{560B8F35-A0A6-4B36-8410-FF190C72591C}">
  <ds:schemaRefs/>
</ds:datastoreItem>
</file>

<file path=customXml/itemProps4.xml><?xml version="1.0" encoding="utf-8"?>
<ds:datastoreItem xmlns:ds="http://schemas.openxmlformats.org/officeDocument/2006/customXml" ds:itemID="{01E7E9EF-F590-44FA-8D9C-850062E5BD95}">
  <ds:schemaRefs/>
</ds:datastoreItem>
</file>

<file path=customXml/itemProps5.xml><?xml version="1.0" encoding="utf-8"?>
<ds:datastoreItem xmlns:ds="http://schemas.openxmlformats.org/officeDocument/2006/customXml" ds:itemID="{837CFBAB-41B1-4583-A96E-3A5A038D0BEE}">
  <ds:schemaRefs/>
</ds:datastoreItem>
</file>

<file path=customXml/itemProps6.xml><?xml version="1.0" encoding="utf-8"?>
<ds:datastoreItem xmlns:ds="http://schemas.openxmlformats.org/officeDocument/2006/customXml" ds:itemID="{F7906D9D-53E3-4C95-8BA0-03B6B3EDEBED}">
  <ds:schemaRefs/>
</ds:datastoreItem>
</file>

<file path=customXml/itemProps7.xml><?xml version="1.0" encoding="utf-8"?>
<ds:datastoreItem xmlns:ds="http://schemas.openxmlformats.org/officeDocument/2006/customXml" ds:itemID="{BFF28F93-6735-4237-990E-8959CF14DB5A}">
  <ds:schemaRefs/>
</ds:datastoreItem>
</file>

<file path=customXml/itemProps8.xml><?xml version="1.0" encoding="utf-8"?>
<ds:datastoreItem xmlns:ds="http://schemas.openxmlformats.org/officeDocument/2006/customXml" ds:itemID="{2BD423C3-EF6A-4671-86B7-AE3E1FCF1F03}">
  <ds:schemaRefs/>
</ds:datastoreItem>
</file>

<file path=customXml/itemProps9.xml><?xml version="1.0" encoding="utf-8"?>
<ds:datastoreItem xmlns:ds="http://schemas.openxmlformats.org/officeDocument/2006/customXml" ds:itemID="{AC9107EA-2C73-42F9-A853-382068F6A1C8}">
  <ds:schemaRefs/>
</ds:datastoreItem>
</file>

<file path=customXml/itemProps10.xml><?xml version="1.0" encoding="utf-8"?>
<ds:datastoreItem xmlns:ds="http://schemas.openxmlformats.org/officeDocument/2006/customXml" ds:itemID="{0FF25A3A-100E-4DD6-8718-E519323B2802}">
  <ds:schemaRefs/>
</ds:datastoreItem>
</file>

<file path=customXml/itemProps11.xml><?xml version="1.0" encoding="utf-8"?>
<ds:datastoreItem xmlns:ds="http://schemas.openxmlformats.org/officeDocument/2006/customXml" ds:itemID="{4C69966C-779F-4771-AC33-F181A84CA375}">
  <ds:schemaRefs/>
</ds:datastoreItem>
</file>

<file path=customXml/itemProps12.xml><?xml version="1.0" encoding="utf-8"?>
<ds:datastoreItem xmlns:ds="http://schemas.openxmlformats.org/officeDocument/2006/customXml" ds:itemID="{7E43604C-D875-4DEE-96BE-91E121D9410F}">
  <ds:schemaRefs/>
</ds:datastoreItem>
</file>

<file path=customXml/itemProps13.xml><?xml version="1.0" encoding="utf-8"?>
<ds:datastoreItem xmlns:ds="http://schemas.openxmlformats.org/officeDocument/2006/customXml" ds:itemID="{B2277B92-FFC2-43E9-884A-76668CF097BC}">
  <ds:schemaRefs/>
</ds:datastoreItem>
</file>

<file path=customXml/itemProps14.xml><?xml version="1.0" encoding="utf-8"?>
<ds:datastoreItem xmlns:ds="http://schemas.openxmlformats.org/officeDocument/2006/customXml" ds:itemID="{C87273C1-3118-41A8-8056-1185B56D40DE}">
  <ds:schemaRefs/>
</ds:datastoreItem>
</file>

<file path=customXml/itemProps15.xml><?xml version="1.0" encoding="utf-8"?>
<ds:datastoreItem xmlns:ds="http://schemas.openxmlformats.org/officeDocument/2006/customXml" ds:itemID="{B4B7C390-EAA7-4176-9B3C-82961763337D}">
  <ds:schemaRefs/>
</ds:datastoreItem>
</file>

<file path=customXml/itemProps16.xml><?xml version="1.0" encoding="utf-8"?>
<ds:datastoreItem xmlns:ds="http://schemas.openxmlformats.org/officeDocument/2006/customXml" ds:itemID="{AC57AD85-0DB1-4918-B7D9-AC0DD7574D87}">
  <ds:schemaRefs/>
</ds:datastoreItem>
</file>

<file path=customXml/itemProps17.xml><?xml version="1.0" encoding="utf-8"?>
<ds:datastoreItem xmlns:ds="http://schemas.openxmlformats.org/officeDocument/2006/customXml" ds:itemID="{52A59FED-2846-4FE7-90E1-8C2A8C849F84}">
  <ds:schemaRefs/>
</ds:datastoreItem>
</file>

<file path=customXml/itemProps18.xml><?xml version="1.0" encoding="utf-8"?>
<ds:datastoreItem xmlns:ds="http://schemas.openxmlformats.org/officeDocument/2006/customXml" ds:itemID="{364EA74D-7199-4A05-AB69-C60393BA1C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INDIRECT</vt:lpstr>
      <vt:lpstr>Customer Data</vt:lpstr>
      <vt:lpstr>Xlookup &amp; Sumifs</vt:lpstr>
      <vt:lpstr>Shipped Tracker</vt:lpstr>
      <vt:lpstr>FILTER</vt:lpstr>
      <vt:lpstr>AUTOFILTER</vt:lpstr>
      <vt:lpstr>CHECKBOX</vt:lpstr>
      <vt:lpstr>ADVANCED VLOOKUP</vt:lpstr>
      <vt:lpstr>Sales</vt:lpstr>
      <vt:lpstr>Profit</vt:lpstr>
      <vt:lpstr>POWER PIVOT</vt:lpstr>
      <vt:lpstr>Cost</vt:lpstr>
      <vt:lpstr>INDEX MATCH</vt:lpstr>
      <vt:lpstr>PIVOTBY</vt:lpstr>
      <vt:lpstr>FILTERFUNCTION</vt:lpstr>
      <vt:lpstr>array</vt:lpstr>
      <vt:lpstr>Bocaue</vt:lpstr>
      <vt:lpstr>Bulacan</vt:lpstr>
      <vt:lpstr>Cubao</vt:lpstr>
      <vt:lpstr>Fairview</vt:lpstr>
      <vt:lpstr>inv</vt:lpstr>
      <vt:lpstr>Lazaro</vt:lpstr>
      <vt:lpstr>Marilao</vt:lpstr>
      <vt:lpstr>Maynila</vt:lpstr>
      <vt:lpstr>Megamall</vt:lpstr>
      <vt:lpstr>FILTER!Print_Area</vt:lpstr>
      <vt:lpstr>QuezonCity</vt:lpstr>
      <vt:lpstr>Trinoma</vt:lpstr>
      <vt:lpstr>Tungko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Courteny Madronero</dc:creator>
  <cp:lastModifiedBy>Courteny Madronero</cp:lastModifiedBy>
  <dcterms:created xsi:type="dcterms:W3CDTF">2026-05-27T06:47:02Z</dcterms:created>
  <dcterms:modified xsi:type="dcterms:W3CDTF">2026-09-11T06:13:59Z</dcterms:modified>
</cp:coreProperties>
</file>